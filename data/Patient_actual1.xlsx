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Patient_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<sst xmlns="http://schemas.openxmlformats.org/spreadsheetml/2006/main" count="142" uniqueCount="78">
  <si>
    <t>Patient</t>
  </si>
  <si>
    <t>Age</t>
  </si>
  <si>
    <t>Gender</t>
  </si>
  <si>
    <t>Type_Of_Cancer</t>
  </si>
  <si>
    <t>Cancer_treatment</t>
  </si>
  <si>
    <t>Targeted_Therapy</t>
  </si>
  <si>
    <t>Surgery</t>
  </si>
  <si>
    <t>Chemotherapy</t>
  </si>
  <si>
    <t xml:space="preserve"> Radiation_Therapy</t>
  </si>
  <si>
    <t xml:space="preserve"> Hormone_Therapy</t>
  </si>
  <si>
    <t>Strenuous_Activities</t>
  </si>
  <si>
    <t>Long_Walk</t>
  </si>
  <si>
    <t>short_walk</t>
  </si>
  <si>
    <t>Stayin_Bed</t>
  </si>
  <si>
    <t>help_edw</t>
  </si>
  <si>
    <t xml:space="preserve">limited_in_doing _work </t>
  </si>
  <si>
    <t>limited_pursuing_hobbies</t>
  </si>
  <si>
    <t>feel_tense</t>
  </si>
  <si>
    <t>worry</t>
  </si>
  <si>
    <t>feel_irritable</t>
  </si>
  <si>
    <t>feel_depressed</t>
  </si>
  <si>
    <t>difficulty_concentrating</t>
  </si>
  <si>
    <t>difficulty_remembering</t>
  </si>
  <si>
    <t>condition_interfered_with _familylife</t>
  </si>
  <si>
    <t>condition_interfered_socialactivities</t>
  </si>
  <si>
    <t>worried_health</t>
  </si>
  <si>
    <t>feel_uncertain</t>
  </si>
  <si>
    <t>need_to_rest</t>
  </si>
  <si>
    <t>felt_weak</t>
  </si>
  <si>
    <t>tired</t>
  </si>
  <si>
    <t>felt_nauseated</t>
  </si>
  <si>
    <t xml:space="preserve"> vomited</t>
  </si>
  <si>
    <t>pain</t>
  </si>
  <si>
    <t xml:space="preserve"> interfer_daily_activities</t>
  </si>
  <si>
    <t>short_of_breath</t>
  </si>
  <si>
    <t>trouble_sleeping</t>
  </si>
  <si>
    <t>lacked_appetite</t>
  </si>
  <si>
    <t>constipated</t>
  </si>
  <si>
    <t>diarrhea</t>
  </si>
  <si>
    <t>financial_difficulties</t>
  </si>
  <si>
    <t>hot_flushes</t>
  </si>
  <si>
    <t>headaches</t>
  </si>
  <si>
    <t>dry_mouth</t>
  </si>
  <si>
    <t>trouble_with_eyes</t>
  </si>
  <si>
    <t xml:space="preserve"> ringing_ears</t>
  </si>
  <si>
    <t>feeling_ill_unwell</t>
  </si>
  <si>
    <t>dizziness</t>
  </si>
  <si>
    <t xml:space="preserve"> upset_hair loss</t>
  </si>
  <si>
    <t>Patient_Emotional_Score_Sub</t>
  </si>
  <si>
    <t>Patient_Physical_Symptom_Score_Sub</t>
  </si>
  <si>
    <t>Patient_Sleep_Score</t>
  </si>
  <si>
    <t>Psychological_Score</t>
  </si>
  <si>
    <t>Emotional_Score</t>
  </si>
  <si>
    <t>Physical_Symptom_Score</t>
  </si>
  <si>
    <t>Treatment_Score</t>
  </si>
  <si>
    <t>Cancer_Severity_Score</t>
  </si>
  <si>
    <t>Caregiver_distress_index</t>
  </si>
  <si>
    <t xml:space="preserve">Rating </t>
  </si>
  <si>
    <t>Patient.</t>
  </si>
  <si>
    <t>Lung_Cancer</t>
  </si>
  <si>
    <t>High</t>
  </si>
  <si>
    <t>Breast_Cancer</t>
  </si>
  <si>
    <t>Surgery, Chemotherapy, Radiation_Therapy</t>
  </si>
  <si>
    <t>Moderate</t>
  </si>
  <si>
    <t>Oral_Cavity_Cancer</t>
  </si>
  <si>
    <t>Chemotherapy, Radiation_Therapy, Hormone_Therapy</t>
  </si>
  <si>
    <t>Radiation_Therapy</t>
  </si>
  <si>
    <t>Low</t>
  </si>
  <si>
    <t>Surgery, Chemotherapy</t>
  </si>
  <si>
    <t>Radiation_Therapy, Hormone_Therapy</t>
  </si>
  <si>
    <t>Stomach_Cancer</t>
  </si>
  <si>
    <t>Chemotherapy, Hormone_Therapy</t>
  </si>
  <si>
    <t>Hormone_Therapy, Targeted_Therapy</t>
  </si>
  <si>
    <t>Cervical_Cancer</t>
  </si>
  <si>
    <t>Surgery, Chemotherapy, Radiation_Therapy, Hormone_Therapy, Targeted_Therapy</t>
  </si>
  <si>
    <t>Surgery, Hormone_Therapy</t>
  </si>
  <si>
    <t>Surgery, Chemotherapy, Radiation_Therapy, Hormone_Therapy</t>
  </si>
  <si>
    <t xml:space="preserve">Lung_Cancer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</si>
</sst>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2"/>
  <sheetViews>
    <sheetView tabSelected="1" zoomScaleSheetLayoutView="60" topLeftCell="G1" workbookViewId="0">
      <selection activeCell="BB24" sqref="BB24"/>
    </sheetView>
  </sheetViews>
  <sheetFormatPr defaultColWidth="9.81818181818182" defaultRowHeight="14.5"/>
  <cols>
    <col min="51" max="51" width="12.8181818181818"/>
    <col min="54" max="54" width="12.8181818181818"/>
    <col min="57" max="57" width="12.8181818181818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>
        <v>25</v>
      </c>
      <c r="C2">
        <v>1</v>
      </c>
      <c r="D2" t="s">
        <v>59</v>
      </c>
      <c r="E2" t="s">
        <v>5</v>
      </c>
      <c r="F2">
        <v>1</v>
      </c>
      <c r="G2">
        <v>0</v>
      </c>
      <c r="H2">
        <v>0</v>
      </c>
      <c r="I2">
        <v>0</v>
      </c>
      <c r="J2">
        <v>0</v>
      </c>
      <c r="K2">
        <v>3</v>
      </c>
      <c r="L2">
        <v>4</v>
      </c>
      <c r="M2">
        <v>4</v>
      </c>
      <c r="N2">
        <v>3</v>
      </c>
      <c r="O2">
        <v>1</v>
      </c>
      <c r="P2">
        <v>2</v>
      </c>
      <c r="Q2">
        <v>3</v>
      </c>
      <c r="R2">
        <v>3</v>
      </c>
      <c r="S2">
        <v>5</v>
      </c>
      <c r="T2">
        <v>1</v>
      </c>
      <c r="U2">
        <v>2</v>
      </c>
      <c r="V2">
        <v>3</v>
      </c>
      <c r="W2">
        <v>2</v>
      </c>
      <c r="X2">
        <v>5</v>
      </c>
      <c r="Y2">
        <v>1</v>
      </c>
      <c r="Z2">
        <v>5</v>
      </c>
      <c r="AA2">
        <v>3</v>
      </c>
      <c r="AB2">
        <v>3</v>
      </c>
      <c r="AC2">
        <v>4</v>
      </c>
      <c r="AD2">
        <v>5</v>
      </c>
      <c r="AE2">
        <v>2</v>
      </c>
      <c r="AF2">
        <v>1</v>
      </c>
      <c r="AG2">
        <v>4</v>
      </c>
      <c r="AH2">
        <v>1</v>
      </c>
      <c r="AI2">
        <v>5</v>
      </c>
      <c r="AJ2">
        <v>3</v>
      </c>
      <c r="AK2">
        <v>2</v>
      </c>
      <c r="AL2">
        <v>5</v>
      </c>
      <c r="AM2">
        <v>2</v>
      </c>
      <c r="AN2">
        <v>3</v>
      </c>
      <c r="AO2">
        <v>4</v>
      </c>
      <c r="AP2">
        <v>3</v>
      </c>
      <c r="AQ2">
        <v>2</v>
      </c>
      <c r="AR2">
        <v>2</v>
      </c>
      <c r="AS2">
        <v>4</v>
      </c>
      <c r="AT2">
        <v>3</v>
      </c>
      <c r="AU2">
        <v>4</v>
      </c>
      <c r="AV2">
        <v>4</v>
      </c>
      <c r="AW2">
        <f>AVERAGE(R2,S2,U2,AA2)</f>
        <v>3.25</v>
      </c>
      <c r="AX2">
        <f>AVERAGE(AG2,AE2,AC2,AK2)</f>
        <v>3</v>
      </c>
      <c r="AY2">
        <f>AVERAGE(AD2,AB2,AJ2)</f>
        <v>3.66666666666667</v>
      </c>
      <c r="AZ2">
        <v>3</v>
      </c>
      <c r="BA2">
        <v>3.25</v>
      </c>
      <c r="BB2">
        <v>3.111111111</v>
      </c>
      <c r="BC2">
        <v>1.2</v>
      </c>
      <c r="BD2">
        <v>4</v>
      </c>
      <c r="BE2">
        <v>2.982373011</v>
      </c>
      <c r="BF2" t="s">
        <v>60</v>
      </c>
    </row>
    <row r="3" spans="1:58">
      <c r="A3" t="s">
        <v>58</v>
      </c>
      <c r="B3">
        <v>35</v>
      </c>
      <c r="C3">
        <v>1</v>
      </c>
      <c r="D3" t="s">
        <v>61</v>
      </c>
      <c r="E3" t="s">
        <v>62</v>
      </c>
      <c r="F3">
        <v>0</v>
      </c>
      <c r="G3">
        <v>1</v>
      </c>
      <c r="H3">
        <v>1</v>
      </c>
      <c r="I3">
        <v>1</v>
      </c>
      <c r="J3">
        <v>0</v>
      </c>
      <c r="K3">
        <v>3</v>
      </c>
      <c r="L3">
        <v>2</v>
      </c>
      <c r="M3">
        <v>1</v>
      </c>
      <c r="N3">
        <v>1</v>
      </c>
      <c r="O3">
        <v>1</v>
      </c>
      <c r="P3">
        <v>1</v>
      </c>
      <c r="Q3">
        <v>1</v>
      </c>
      <c r="R3">
        <v>2</v>
      </c>
      <c r="S3">
        <v>5</v>
      </c>
      <c r="T3">
        <v>3</v>
      </c>
      <c r="U3">
        <v>1</v>
      </c>
      <c r="V3">
        <v>2</v>
      </c>
      <c r="W3">
        <v>5</v>
      </c>
      <c r="X3">
        <v>1</v>
      </c>
      <c r="Y3">
        <v>2</v>
      </c>
      <c r="Z3">
        <v>3</v>
      </c>
      <c r="AA3">
        <v>5</v>
      </c>
      <c r="AB3">
        <v>2</v>
      </c>
      <c r="AC3">
        <v>2</v>
      </c>
      <c r="AD3">
        <v>3</v>
      </c>
      <c r="AE3">
        <v>4</v>
      </c>
      <c r="AF3">
        <v>1</v>
      </c>
      <c r="AG3">
        <v>3</v>
      </c>
      <c r="AH3">
        <v>2</v>
      </c>
      <c r="AI3">
        <v>2</v>
      </c>
      <c r="AJ3">
        <v>3</v>
      </c>
      <c r="AK3">
        <v>1</v>
      </c>
      <c r="AL3">
        <v>1</v>
      </c>
      <c r="AM3">
        <v>1</v>
      </c>
      <c r="AN3">
        <v>5</v>
      </c>
      <c r="AO3">
        <v>2</v>
      </c>
      <c r="AP3">
        <v>5</v>
      </c>
      <c r="AQ3">
        <v>1</v>
      </c>
      <c r="AR3">
        <v>2</v>
      </c>
      <c r="AS3">
        <v>1</v>
      </c>
      <c r="AT3">
        <v>2</v>
      </c>
      <c r="AU3">
        <v>2</v>
      </c>
      <c r="AV3">
        <v>5</v>
      </c>
      <c r="AW3">
        <f t="shared" ref="AW3:AW22" si="0">AVERAGE(R3,S3,U3,AA3)</f>
        <v>3.25</v>
      </c>
      <c r="AX3">
        <f t="shared" ref="AX3:AX23" si="1">AVERAGE(AG3,AE3,AC3,AK3)</f>
        <v>2.5</v>
      </c>
      <c r="AY3">
        <f t="shared" ref="AY3:AY23" si="2">AVERAGE(AD3,AB3,AJ3)</f>
        <v>2.66666666666667</v>
      </c>
      <c r="AZ3">
        <v>3.25</v>
      </c>
      <c r="BA3">
        <v>2.5</v>
      </c>
      <c r="BB3">
        <v>2.111111111</v>
      </c>
      <c r="BC3">
        <v>3.6</v>
      </c>
      <c r="BD3">
        <v>2</v>
      </c>
      <c r="BE3">
        <v>2.682393311</v>
      </c>
      <c r="BF3" t="s">
        <v>63</v>
      </c>
    </row>
    <row r="4" spans="1:58">
      <c r="A4" t="s">
        <v>58</v>
      </c>
      <c r="B4">
        <v>25</v>
      </c>
      <c r="C4">
        <v>0</v>
      </c>
      <c r="D4" t="s">
        <v>64</v>
      </c>
      <c r="E4" t="s">
        <v>65</v>
      </c>
      <c r="F4">
        <v>0</v>
      </c>
      <c r="G4">
        <v>0</v>
      </c>
      <c r="H4">
        <v>1</v>
      </c>
      <c r="I4">
        <v>1</v>
      </c>
      <c r="J4">
        <v>1</v>
      </c>
      <c r="K4">
        <v>2</v>
      </c>
      <c r="L4">
        <v>5</v>
      </c>
      <c r="M4">
        <v>3</v>
      </c>
      <c r="N4">
        <v>3</v>
      </c>
      <c r="O4">
        <v>2</v>
      </c>
      <c r="P4">
        <v>2</v>
      </c>
      <c r="Q4">
        <v>1</v>
      </c>
      <c r="R4">
        <v>2</v>
      </c>
      <c r="S4">
        <v>1</v>
      </c>
      <c r="T4">
        <v>3</v>
      </c>
      <c r="U4">
        <v>3</v>
      </c>
      <c r="V4">
        <v>2</v>
      </c>
      <c r="W4">
        <v>2</v>
      </c>
      <c r="X4">
        <v>2</v>
      </c>
      <c r="Y4">
        <v>2</v>
      </c>
      <c r="Z4">
        <v>3</v>
      </c>
      <c r="AA4">
        <v>2</v>
      </c>
      <c r="AB4">
        <v>2</v>
      </c>
      <c r="AC4">
        <v>2</v>
      </c>
      <c r="AD4">
        <v>2</v>
      </c>
      <c r="AE4">
        <v>2</v>
      </c>
      <c r="AF4">
        <v>3</v>
      </c>
      <c r="AG4">
        <v>4</v>
      </c>
      <c r="AH4">
        <v>3</v>
      </c>
      <c r="AI4">
        <v>3</v>
      </c>
      <c r="AJ4">
        <v>2</v>
      </c>
      <c r="AK4">
        <v>2</v>
      </c>
      <c r="AL4">
        <v>3</v>
      </c>
      <c r="AM4">
        <v>3</v>
      </c>
      <c r="AN4">
        <v>2</v>
      </c>
      <c r="AO4">
        <v>2</v>
      </c>
      <c r="AP4">
        <v>2</v>
      </c>
      <c r="AQ4">
        <v>2</v>
      </c>
      <c r="AR4">
        <v>3</v>
      </c>
      <c r="AS4">
        <v>3</v>
      </c>
      <c r="AT4">
        <v>3</v>
      </c>
      <c r="AU4">
        <v>3</v>
      </c>
      <c r="AV4">
        <v>3</v>
      </c>
      <c r="AW4">
        <f t="shared" si="0"/>
        <v>2</v>
      </c>
      <c r="AX4">
        <f t="shared" si="1"/>
        <v>2.5</v>
      </c>
      <c r="AY4">
        <f t="shared" si="2"/>
        <v>2</v>
      </c>
      <c r="AZ4">
        <v>2.25</v>
      </c>
      <c r="BA4">
        <v>2.5</v>
      </c>
      <c r="BB4">
        <v>2.555555556</v>
      </c>
      <c r="BC4">
        <v>3.6</v>
      </c>
      <c r="BD4">
        <v>1</v>
      </c>
      <c r="BE4">
        <v>2.475624756</v>
      </c>
      <c r="BF4" t="s">
        <v>63</v>
      </c>
    </row>
    <row r="5" spans="1:58">
      <c r="A5" t="s">
        <v>58</v>
      </c>
      <c r="B5">
        <v>25</v>
      </c>
      <c r="C5">
        <v>1</v>
      </c>
      <c r="D5" t="s">
        <v>64</v>
      </c>
      <c r="E5" t="s">
        <v>66</v>
      </c>
      <c r="F5">
        <v>0</v>
      </c>
      <c r="G5">
        <v>0</v>
      </c>
      <c r="H5">
        <v>0</v>
      </c>
      <c r="I5">
        <v>1</v>
      </c>
      <c r="J5">
        <v>0</v>
      </c>
      <c r="K5">
        <v>2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>
        <v>2</v>
      </c>
      <c r="T5">
        <v>5</v>
      </c>
      <c r="U5">
        <v>1</v>
      </c>
      <c r="V5">
        <v>4</v>
      </c>
      <c r="W5">
        <v>2</v>
      </c>
      <c r="X5">
        <v>1</v>
      </c>
      <c r="Y5">
        <v>1</v>
      </c>
      <c r="Z5">
        <v>3</v>
      </c>
      <c r="AA5">
        <v>2</v>
      </c>
      <c r="AB5">
        <v>2</v>
      </c>
      <c r="AC5">
        <v>2</v>
      </c>
      <c r="AD5">
        <v>2</v>
      </c>
      <c r="AE5">
        <v>5</v>
      </c>
      <c r="AF5">
        <v>1</v>
      </c>
      <c r="AG5">
        <v>1</v>
      </c>
      <c r="AH5">
        <v>1</v>
      </c>
      <c r="AI5">
        <v>2</v>
      </c>
      <c r="AJ5">
        <v>2</v>
      </c>
      <c r="AK5">
        <v>1</v>
      </c>
      <c r="AL5">
        <v>1</v>
      </c>
      <c r="AM5">
        <v>1</v>
      </c>
      <c r="AN5">
        <v>3</v>
      </c>
      <c r="AO5">
        <v>1</v>
      </c>
      <c r="AP5">
        <v>5</v>
      </c>
      <c r="AQ5">
        <v>1</v>
      </c>
      <c r="AR5">
        <v>2</v>
      </c>
      <c r="AS5">
        <v>1</v>
      </c>
      <c r="AT5">
        <v>1</v>
      </c>
      <c r="AU5">
        <v>4</v>
      </c>
      <c r="AV5">
        <v>5</v>
      </c>
      <c r="AW5">
        <f t="shared" si="0"/>
        <v>1.5</v>
      </c>
      <c r="AX5">
        <f t="shared" si="1"/>
        <v>2.25</v>
      </c>
      <c r="AY5">
        <f t="shared" si="2"/>
        <v>2</v>
      </c>
      <c r="AZ5">
        <v>2.5</v>
      </c>
      <c r="BA5">
        <v>2</v>
      </c>
      <c r="BB5">
        <v>1.944444444</v>
      </c>
      <c r="BC5">
        <v>1.1</v>
      </c>
      <c r="BD5">
        <v>1</v>
      </c>
      <c r="BE5">
        <v>1.988790144</v>
      </c>
      <c r="BF5" t="s">
        <v>67</v>
      </c>
    </row>
    <row r="6" spans="1:58">
      <c r="A6" t="s">
        <v>58</v>
      </c>
      <c r="B6">
        <v>25</v>
      </c>
      <c r="C6">
        <v>1</v>
      </c>
      <c r="D6" t="s">
        <v>61</v>
      </c>
      <c r="E6" t="s">
        <v>68</v>
      </c>
      <c r="F6">
        <v>0</v>
      </c>
      <c r="G6">
        <v>1</v>
      </c>
      <c r="H6">
        <v>1</v>
      </c>
      <c r="I6">
        <v>0</v>
      </c>
      <c r="J6">
        <v>0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f t="shared" si="0"/>
        <v>3</v>
      </c>
      <c r="AX6">
        <f t="shared" si="1"/>
        <v>3</v>
      </c>
      <c r="AY6">
        <f t="shared" si="2"/>
        <v>3</v>
      </c>
      <c r="AZ6">
        <v>3</v>
      </c>
      <c r="BA6">
        <v>3</v>
      </c>
      <c r="BB6">
        <v>3</v>
      </c>
      <c r="BC6">
        <v>2.5</v>
      </c>
      <c r="BD6">
        <v>2</v>
      </c>
      <c r="BE6">
        <v>2.9021865</v>
      </c>
      <c r="BF6" t="s">
        <v>60</v>
      </c>
    </row>
    <row r="7" spans="1:58">
      <c r="A7" t="s">
        <v>58</v>
      </c>
      <c r="B7">
        <v>25</v>
      </c>
      <c r="C7">
        <v>1</v>
      </c>
      <c r="D7" t="s">
        <v>59</v>
      </c>
      <c r="E7" t="s">
        <v>62</v>
      </c>
      <c r="F7">
        <v>0</v>
      </c>
      <c r="G7">
        <v>1</v>
      </c>
      <c r="H7">
        <v>1</v>
      </c>
      <c r="I7">
        <v>1</v>
      </c>
      <c r="J7">
        <v>0</v>
      </c>
      <c r="K7">
        <v>4</v>
      </c>
      <c r="L7">
        <v>2</v>
      </c>
      <c r="M7">
        <v>4</v>
      </c>
      <c r="N7">
        <v>3</v>
      </c>
      <c r="O7">
        <v>2</v>
      </c>
      <c r="P7">
        <v>3</v>
      </c>
      <c r="Q7">
        <v>2</v>
      </c>
      <c r="R7">
        <v>3</v>
      </c>
      <c r="S7">
        <v>4</v>
      </c>
      <c r="T7">
        <v>3</v>
      </c>
      <c r="U7">
        <v>2</v>
      </c>
      <c r="V7">
        <v>3</v>
      </c>
      <c r="W7">
        <v>4</v>
      </c>
      <c r="X7">
        <v>3</v>
      </c>
      <c r="Y7">
        <v>4</v>
      </c>
      <c r="Z7">
        <v>3</v>
      </c>
      <c r="AA7">
        <v>2</v>
      </c>
      <c r="AB7">
        <v>2</v>
      </c>
      <c r="AC7">
        <v>3</v>
      </c>
      <c r="AD7">
        <v>4</v>
      </c>
      <c r="AE7">
        <v>2</v>
      </c>
      <c r="AF7">
        <v>3</v>
      </c>
      <c r="AG7">
        <v>4</v>
      </c>
      <c r="AH7">
        <v>3</v>
      </c>
      <c r="AI7">
        <v>2</v>
      </c>
      <c r="AJ7">
        <v>2</v>
      </c>
      <c r="AK7">
        <v>3</v>
      </c>
      <c r="AL7">
        <v>4</v>
      </c>
      <c r="AM7">
        <v>2</v>
      </c>
      <c r="AN7">
        <v>3</v>
      </c>
      <c r="AO7">
        <v>4</v>
      </c>
      <c r="AP7">
        <v>4</v>
      </c>
      <c r="AQ7">
        <v>4</v>
      </c>
      <c r="AR7">
        <v>3</v>
      </c>
      <c r="AS7">
        <v>3</v>
      </c>
      <c r="AT7">
        <v>4</v>
      </c>
      <c r="AU7">
        <v>3</v>
      </c>
      <c r="AV7">
        <v>4</v>
      </c>
      <c r="AW7">
        <f t="shared" si="0"/>
        <v>2.75</v>
      </c>
      <c r="AX7">
        <f t="shared" si="1"/>
        <v>3</v>
      </c>
      <c r="AY7">
        <f t="shared" si="2"/>
        <v>2.66666666666667</v>
      </c>
      <c r="AZ7">
        <v>3</v>
      </c>
      <c r="BA7">
        <v>3.75</v>
      </c>
      <c r="BB7">
        <v>3.055555556</v>
      </c>
      <c r="BC7">
        <v>3.6</v>
      </c>
      <c r="BD7">
        <v>4</v>
      </c>
      <c r="BE7">
        <v>3.343903256</v>
      </c>
      <c r="BF7" t="s">
        <v>60</v>
      </c>
    </row>
    <row r="8" spans="1:58">
      <c r="A8" t="s">
        <v>58</v>
      </c>
      <c r="B8">
        <v>25</v>
      </c>
      <c r="C8">
        <v>0</v>
      </c>
      <c r="D8" t="s">
        <v>64</v>
      </c>
      <c r="E8" t="s">
        <v>69</v>
      </c>
      <c r="F8">
        <v>0</v>
      </c>
      <c r="G8">
        <v>0</v>
      </c>
      <c r="H8">
        <v>0</v>
      </c>
      <c r="I8">
        <v>1</v>
      </c>
      <c r="J8">
        <v>1</v>
      </c>
      <c r="K8">
        <v>3</v>
      </c>
      <c r="L8">
        <v>3</v>
      </c>
      <c r="M8">
        <v>3</v>
      </c>
      <c r="N8">
        <v>2</v>
      </c>
      <c r="O8">
        <v>4</v>
      </c>
      <c r="P8">
        <v>4</v>
      </c>
      <c r="Q8">
        <v>4</v>
      </c>
      <c r="R8">
        <v>2</v>
      </c>
      <c r="S8">
        <v>4</v>
      </c>
      <c r="T8">
        <v>3</v>
      </c>
      <c r="U8">
        <v>3</v>
      </c>
      <c r="V8">
        <v>4</v>
      </c>
      <c r="W8">
        <v>4</v>
      </c>
      <c r="X8">
        <v>3</v>
      </c>
      <c r="Y8">
        <v>3</v>
      </c>
      <c r="Z8">
        <v>2</v>
      </c>
      <c r="AA8">
        <v>2</v>
      </c>
      <c r="AB8">
        <v>2</v>
      </c>
      <c r="AC8">
        <v>2</v>
      </c>
      <c r="AD8">
        <v>4</v>
      </c>
      <c r="AE8">
        <v>4</v>
      </c>
      <c r="AF8">
        <v>4</v>
      </c>
      <c r="AG8">
        <v>3</v>
      </c>
      <c r="AH8">
        <v>4</v>
      </c>
      <c r="AI8">
        <v>5</v>
      </c>
      <c r="AJ8">
        <v>4</v>
      </c>
      <c r="AK8">
        <v>4</v>
      </c>
      <c r="AL8">
        <v>3</v>
      </c>
      <c r="AM8">
        <v>3</v>
      </c>
      <c r="AN8">
        <v>3</v>
      </c>
      <c r="AO8">
        <v>4</v>
      </c>
      <c r="AP8">
        <v>5</v>
      </c>
      <c r="AQ8">
        <v>4</v>
      </c>
      <c r="AR8">
        <v>3</v>
      </c>
      <c r="AS8">
        <v>3</v>
      </c>
      <c r="AT8">
        <v>4</v>
      </c>
      <c r="AU8">
        <v>5</v>
      </c>
      <c r="AV8">
        <v>3</v>
      </c>
      <c r="AW8">
        <f t="shared" si="0"/>
        <v>2.75</v>
      </c>
      <c r="AX8">
        <f t="shared" si="1"/>
        <v>3.25</v>
      </c>
      <c r="AY8">
        <f t="shared" si="2"/>
        <v>3.33333333333333</v>
      </c>
      <c r="AZ8">
        <v>3</v>
      </c>
      <c r="BA8">
        <v>3.25</v>
      </c>
      <c r="BB8">
        <v>3.666666667</v>
      </c>
      <c r="BC8">
        <v>2.1</v>
      </c>
      <c r="BD8">
        <v>1</v>
      </c>
      <c r="BE8">
        <v>3.073540867</v>
      </c>
      <c r="BF8" t="s">
        <v>60</v>
      </c>
    </row>
    <row r="9" spans="1:58">
      <c r="A9" t="s">
        <v>58</v>
      </c>
      <c r="B9">
        <v>25</v>
      </c>
      <c r="C9">
        <v>1</v>
      </c>
      <c r="D9" t="s">
        <v>70</v>
      </c>
      <c r="E9" t="s">
        <v>62</v>
      </c>
      <c r="F9">
        <v>0</v>
      </c>
      <c r="G9">
        <v>1</v>
      </c>
      <c r="H9">
        <v>1</v>
      </c>
      <c r="I9">
        <v>1</v>
      </c>
      <c r="J9">
        <v>0</v>
      </c>
      <c r="K9">
        <v>2</v>
      </c>
      <c r="L9">
        <v>3</v>
      </c>
      <c r="M9">
        <v>4</v>
      </c>
      <c r="N9">
        <v>3</v>
      </c>
      <c r="O9">
        <v>4</v>
      </c>
      <c r="P9">
        <v>4</v>
      </c>
      <c r="Q9">
        <v>2</v>
      </c>
      <c r="R9">
        <v>2</v>
      </c>
      <c r="S9">
        <v>3</v>
      </c>
      <c r="T9">
        <v>4</v>
      </c>
      <c r="U9">
        <v>4</v>
      </c>
      <c r="V9">
        <v>4</v>
      </c>
      <c r="W9">
        <v>3</v>
      </c>
      <c r="X9">
        <v>3</v>
      </c>
      <c r="Y9">
        <v>4</v>
      </c>
      <c r="Z9">
        <v>2</v>
      </c>
      <c r="AA9">
        <v>2</v>
      </c>
      <c r="AB9">
        <v>2</v>
      </c>
      <c r="AC9">
        <v>2</v>
      </c>
      <c r="AD9">
        <v>4</v>
      </c>
      <c r="AE9">
        <v>4</v>
      </c>
      <c r="AF9">
        <v>3</v>
      </c>
      <c r="AG9">
        <v>4</v>
      </c>
      <c r="AH9">
        <v>3</v>
      </c>
      <c r="AI9">
        <v>4</v>
      </c>
      <c r="AJ9">
        <v>4</v>
      </c>
      <c r="AK9">
        <v>2</v>
      </c>
      <c r="AL9">
        <v>1</v>
      </c>
      <c r="AM9">
        <v>1</v>
      </c>
      <c r="AN9">
        <v>3</v>
      </c>
      <c r="AO9">
        <v>3</v>
      </c>
      <c r="AP9">
        <v>3</v>
      </c>
      <c r="AQ9">
        <v>3</v>
      </c>
      <c r="AR9">
        <v>3</v>
      </c>
      <c r="AS9">
        <v>2</v>
      </c>
      <c r="AT9">
        <v>2</v>
      </c>
      <c r="AU9">
        <v>1</v>
      </c>
      <c r="AV9">
        <v>2</v>
      </c>
      <c r="AW9">
        <f t="shared" si="0"/>
        <v>2.75</v>
      </c>
      <c r="AX9">
        <f t="shared" si="1"/>
        <v>3</v>
      </c>
      <c r="AY9">
        <f t="shared" si="2"/>
        <v>3.33333333333333</v>
      </c>
      <c r="AZ9">
        <v>3</v>
      </c>
      <c r="BA9">
        <v>2.75</v>
      </c>
      <c r="BB9">
        <v>2.722222222</v>
      </c>
      <c r="BC9">
        <v>3.6</v>
      </c>
      <c r="BD9">
        <v>4</v>
      </c>
      <c r="BE9">
        <v>2.956239922</v>
      </c>
      <c r="BF9" t="s">
        <v>60</v>
      </c>
    </row>
    <row r="10" spans="1:58">
      <c r="A10" t="s">
        <v>58</v>
      </c>
      <c r="B10">
        <v>35</v>
      </c>
      <c r="C10">
        <v>0</v>
      </c>
      <c r="D10" t="s">
        <v>70</v>
      </c>
      <c r="E10" t="s">
        <v>69</v>
      </c>
      <c r="F10">
        <v>0</v>
      </c>
      <c r="G10">
        <v>0</v>
      </c>
      <c r="H10">
        <v>0</v>
      </c>
      <c r="I10">
        <v>1</v>
      </c>
      <c r="J10">
        <v>1</v>
      </c>
      <c r="K10">
        <v>3</v>
      </c>
      <c r="L10">
        <v>3</v>
      </c>
      <c r="M10">
        <v>3</v>
      </c>
      <c r="N10">
        <v>5</v>
      </c>
      <c r="O10">
        <v>3</v>
      </c>
      <c r="P10">
        <v>4</v>
      </c>
      <c r="Q10">
        <v>5</v>
      </c>
      <c r="R10">
        <v>5</v>
      </c>
      <c r="S10">
        <v>3</v>
      </c>
      <c r="T10">
        <v>4</v>
      </c>
      <c r="U10">
        <v>4</v>
      </c>
      <c r="V10">
        <v>4</v>
      </c>
      <c r="W10">
        <v>5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2</v>
      </c>
      <c r="AE10">
        <v>4</v>
      </c>
      <c r="AF10">
        <v>3</v>
      </c>
      <c r="AG10">
        <v>3</v>
      </c>
      <c r="AH10">
        <v>3</v>
      </c>
      <c r="AI10">
        <v>5</v>
      </c>
      <c r="AJ10">
        <v>4</v>
      </c>
      <c r="AK10">
        <v>4</v>
      </c>
      <c r="AL10">
        <v>4</v>
      </c>
      <c r="AM10">
        <v>4</v>
      </c>
      <c r="AN10">
        <v>5</v>
      </c>
      <c r="AO10">
        <v>4</v>
      </c>
      <c r="AP10">
        <v>4</v>
      </c>
      <c r="AQ10">
        <v>4</v>
      </c>
      <c r="AR10">
        <v>4</v>
      </c>
      <c r="AS10">
        <v>5</v>
      </c>
      <c r="AT10">
        <v>4</v>
      </c>
      <c r="AU10">
        <v>3</v>
      </c>
      <c r="AV10">
        <v>3</v>
      </c>
      <c r="AW10">
        <f t="shared" si="0"/>
        <v>4</v>
      </c>
      <c r="AX10">
        <f t="shared" si="1"/>
        <v>3.75</v>
      </c>
      <c r="AY10">
        <f t="shared" si="2"/>
        <v>3.33333333333333</v>
      </c>
      <c r="AZ10">
        <v>4.125</v>
      </c>
      <c r="BA10">
        <v>3.5</v>
      </c>
      <c r="BB10">
        <v>3.777777778</v>
      </c>
      <c r="BC10">
        <v>2.1</v>
      </c>
      <c r="BD10">
        <v>4</v>
      </c>
      <c r="BE10">
        <v>3.643944478</v>
      </c>
      <c r="BF10" t="s">
        <v>60</v>
      </c>
    </row>
    <row r="11" spans="1:58">
      <c r="A11" t="s">
        <v>58</v>
      </c>
      <c r="B11">
        <v>25</v>
      </c>
      <c r="C11">
        <v>0</v>
      </c>
      <c r="D11" t="s">
        <v>70</v>
      </c>
      <c r="E11" t="s">
        <v>71</v>
      </c>
      <c r="F11">
        <v>0</v>
      </c>
      <c r="G11">
        <v>0</v>
      </c>
      <c r="H11">
        <v>1</v>
      </c>
      <c r="I11">
        <v>0</v>
      </c>
      <c r="J11">
        <v>1</v>
      </c>
      <c r="K11">
        <v>2</v>
      </c>
      <c r="L11">
        <v>2</v>
      </c>
      <c r="M11">
        <v>3</v>
      </c>
      <c r="N11">
        <v>3</v>
      </c>
      <c r="O11">
        <v>3</v>
      </c>
      <c r="P11">
        <v>3</v>
      </c>
      <c r="Q11">
        <v>1</v>
      </c>
      <c r="R11">
        <v>3</v>
      </c>
      <c r="S11">
        <v>2</v>
      </c>
      <c r="T11">
        <v>2</v>
      </c>
      <c r="U11">
        <v>2</v>
      </c>
      <c r="V11">
        <v>3</v>
      </c>
      <c r="W11">
        <v>3</v>
      </c>
      <c r="X11">
        <v>3</v>
      </c>
      <c r="Y11">
        <v>3</v>
      </c>
      <c r="Z11">
        <v>4</v>
      </c>
      <c r="AA11">
        <v>4</v>
      </c>
      <c r="AB11">
        <v>1</v>
      </c>
      <c r="AC11">
        <v>3</v>
      </c>
      <c r="AD11">
        <v>4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4</v>
      </c>
      <c r="AM11">
        <v>4</v>
      </c>
      <c r="AN11">
        <v>4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1</v>
      </c>
      <c r="AV11">
        <v>2</v>
      </c>
      <c r="AW11">
        <f t="shared" si="0"/>
        <v>2.75</v>
      </c>
      <c r="AX11">
        <f t="shared" si="1"/>
        <v>2.75</v>
      </c>
      <c r="AY11">
        <f t="shared" si="2"/>
        <v>2.33333333333333</v>
      </c>
      <c r="AZ11">
        <v>2.875</v>
      </c>
      <c r="BA11">
        <v>2.75</v>
      </c>
      <c r="BB11">
        <v>2.833333333</v>
      </c>
      <c r="BC11">
        <v>2.5</v>
      </c>
      <c r="BD11">
        <v>4</v>
      </c>
      <c r="BE11">
        <v>2.846866333</v>
      </c>
      <c r="BF11" t="s">
        <v>60</v>
      </c>
    </row>
    <row r="12" spans="1:58">
      <c r="A12" t="s">
        <v>58</v>
      </c>
      <c r="B12">
        <v>25</v>
      </c>
      <c r="C12">
        <v>0</v>
      </c>
      <c r="D12" t="s">
        <v>70</v>
      </c>
      <c r="E12" t="s">
        <v>72</v>
      </c>
      <c r="F12">
        <v>1</v>
      </c>
      <c r="G12">
        <v>0</v>
      </c>
      <c r="H12">
        <v>0</v>
      </c>
      <c r="I12">
        <v>0</v>
      </c>
      <c r="J12">
        <v>1</v>
      </c>
      <c r="K12">
        <v>2</v>
      </c>
      <c r="L12">
        <v>3</v>
      </c>
      <c r="M12">
        <v>3</v>
      </c>
      <c r="N12">
        <v>3</v>
      </c>
      <c r="O12">
        <v>3</v>
      </c>
      <c r="P12">
        <v>3</v>
      </c>
      <c r="Q12">
        <v>4</v>
      </c>
      <c r="R12">
        <v>4</v>
      </c>
      <c r="S12">
        <v>4</v>
      </c>
      <c r="T12">
        <v>2</v>
      </c>
      <c r="U12">
        <v>1</v>
      </c>
      <c r="V12">
        <v>2</v>
      </c>
      <c r="W12">
        <v>3</v>
      </c>
      <c r="X12">
        <v>3</v>
      </c>
      <c r="Y12">
        <v>3</v>
      </c>
      <c r="Z12">
        <v>4</v>
      </c>
      <c r="AA12">
        <v>4</v>
      </c>
      <c r="AB12">
        <v>2</v>
      </c>
      <c r="AC12">
        <v>5</v>
      </c>
      <c r="AD12">
        <v>2</v>
      </c>
      <c r="AE12">
        <v>3</v>
      </c>
      <c r="AF12">
        <v>3</v>
      </c>
      <c r="AG12">
        <v>3</v>
      </c>
      <c r="AH12">
        <v>1</v>
      </c>
      <c r="AI12">
        <v>2</v>
      </c>
      <c r="AJ12">
        <v>3</v>
      </c>
      <c r="AK12">
        <v>3</v>
      </c>
      <c r="AL12">
        <v>3</v>
      </c>
      <c r="AM12">
        <v>1</v>
      </c>
      <c r="AN12">
        <v>3</v>
      </c>
      <c r="AO12">
        <v>4</v>
      </c>
      <c r="AP12">
        <v>4</v>
      </c>
      <c r="AQ12">
        <v>1</v>
      </c>
      <c r="AR12">
        <v>3</v>
      </c>
      <c r="AS12">
        <v>3</v>
      </c>
      <c r="AT12">
        <v>2</v>
      </c>
      <c r="AU12">
        <v>3</v>
      </c>
      <c r="AV12">
        <v>3</v>
      </c>
      <c r="AW12">
        <f t="shared" si="0"/>
        <v>3.25</v>
      </c>
      <c r="AX12">
        <f t="shared" si="1"/>
        <v>3.5</v>
      </c>
      <c r="AY12">
        <f t="shared" si="2"/>
        <v>2.33333333333333</v>
      </c>
      <c r="AZ12">
        <v>3</v>
      </c>
      <c r="BA12">
        <v>2.75</v>
      </c>
      <c r="BB12">
        <v>2.722222222</v>
      </c>
      <c r="BC12">
        <v>2.2</v>
      </c>
      <c r="BD12">
        <v>4</v>
      </c>
      <c r="BE12">
        <v>2.822264122</v>
      </c>
      <c r="BF12" t="s">
        <v>60</v>
      </c>
    </row>
    <row r="13" spans="1:58">
      <c r="A13" t="s">
        <v>58</v>
      </c>
      <c r="B13">
        <v>25</v>
      </c>
      <c r="C13">
        <v>0</v>
      </c>
      <c r="D13" t="s">
        <v>73</v>
      </c>
      <c r="E13" t="s">
        <v>74</v>
      </c>
      <c r="F13">
        <v>1</v>
      </c>
      <c r="G13">
        <v>1</v>
      </c>
      <c r="H13">
        <v>1</v>
      </c>
      <c r="I13">
        <v>1</v>
      </c>
      <c r="J13">
        <v>1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f t="shared" si="0"/>
        <v>5</v>
      </c>
      <c r="AX13">
        <f t="shared" si="1"/>
        <v>5</v>
      </c>
      <c r="AY13">
        <f t="shared" si="2"/>
        <v>5</v>
      </c>
      <c r="AZ13">
        <v>5</v>
      </c>
      <c r="BA13">
        <v>5</v>
      </c>
      <c r="BB13">
        <v>5</v>
      </c>
      <c r="BC13">
        <v>5.8</v>
      </c>
      <c r="BD13">
        <v>3</v>
      </c>
      <c r="BE13">
        <v>4.9766276</v>
      </c>
      <c r="BF13" t="s">
        <v>60</v>
      </c>
    </row>
    <row r="14" spans="1:58">
      <c r="A14" t="s">
        <v>58</v>
      </c>
      <c r="B14">
        <v>45</v>
      </c>
      <c r="C14">
        <v>0</v>
      </c>
      <c r="D14" t="s">
        <v>64</v>
      </c>
      <c r="E14" t="s">
        <v>5</v>
      </c>
      <c r="F14">
        <v>1</v>
      </c>
      <c r="G14">
        <v>0</v>
      </c>
      <c r="H14">
        <v>0</v>
      </c>
      <c r="I14">
        <v>0</v>
      </c>
      <c r="J14">
        <v>0</v>
      </c>
      <c r="K14">
        <v>2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4</v>
      </c>
      <c r="AK14">
        <v>3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f t="shared" si="0"/>
        <v>3</v>
      </c>
      <c r="AX14">
        <f t="shared" si="1"/>
        <v>3</v>
      </c>
      <c r="AY14">
        <f t="shared" si="2"/>
        <v>3.33333333333333</v>
      </c>
      <c r="AZ14">
        <v>3</v>
      </c>
      <c r="BA14">
        <v>3.5</v>
      </c>
      <c r="BB14">
        <v>3.5</v>
      </c>
      <c r="BC14">
        <v>1.2</v>
      </c>
      <c r="BD14">
        <v>1</v>
      </c>
      <c r="BE14">
        <v>3.0146084</v>
      </c>
      <c r="BF14" t="s">
        <v>60</v>
      </c>
    </row>
    <row r="15" spans="1:58">
      <c r="A15" t="s">
        <v>58</v>
      </c>
      <c r="B15">
        <v>45</v>
      </c>
      <c r="C15">
        <v>1</v>
      </c>
      <c r="D15" t="s">
        <v>59</v>
      </c>
      <c r="E15" t="s">
        <v>66</v>
      </c>
      <c r="F15">
        <v>0</v>
      </c>
      <c r="G15">
        <v>0</v>
      </c>
      <c r="H15">
        <v>0</v>
      </c>
      <c r="I15">
        <v>1</v>
      </c>
      <c r="J15">
        <v>0</v>
      </c>
      <c r="K15">
        <v>3</v>
      </c>
      <c r="L15">
        <v>4</v>
      </c>
      <c r="M15">
        <v>3</v>
      </c>
      <c r="N15">
        <v>2</v>
      </c>
      <c r="O15">
        <v>4</v>
      </c>
      <c r="P15">
        <v>4</v>
      </c>
      <c r="Q15">
        <v>3</v>
      </c>
      <c r="R15">
        <v>2</v>
      </c>
      <c r="S15">
        <v>3</v>
      </c>
      <c r="T15">
        <v>4</v>
      </c>
      <c r="U15">
        <v>4</v>
      </c>
      <c r="V15">
        <v>2</v>
      </c>
      <c r="W15">
        <v>4</v>
      </c>
      <c r="X15">
        <v>3</v>
      </c>
      <c r="Y15">
        <v>3</v>
      </c>
      <c r="Z15">
        <v>3</v>
      </c>
      <c r="AA15">
        <v>3</v>
      </c>
      <c r="AB15">
        <v>2</v>
      </c>
      <c r="AC15">
        <v>2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3</v>
      </c>
      <c r="AJ15">
        <v>3</v>
      </c>
      <c r="AK15">
        <v>4</v>
      </c>
      <c r="AL15">
        <v>4</v>
      </c>
      <c r="AM15">
        <v>4</v>
      </c>
      <c r="AN15">
        <v>3</v>
      </c>
      <c r="AO15">
        <v>3</v>
      </c>
      <c r="AP15">
        <v>3</v>
      </c>
      <c r="AQ15">
        <v>3</v>
      </c>
      <c r="AR15">
        <v>4</v>
      </c>
      <c r="AS15">
        <v>4</v>
      </c>
      <c r="AT15">
        <v>4</v>
      </c>
      <c r="AU15">
        <v>5</v>
      </c>
      <c r="AV15">
        <v>4</v>
      </c>
      <c r="AW15">
        <f t="shared" si="0"/>
        <v>3</v>
      </c>
      <c r="AX15">
        <f t="shared" si="1"/>
        <v>3.5</v>
      </c>
      <c r="AY15">
        <f t="shared" si="2"/>
        <v>3</v>
      </c>
      <c r="AZ15">
        <v>3.125</v>
      </c>
      <c r="BA15">
        <v>3.5</v>
      </c>
      <c r="BB15">
        <v>3.555555556</v>
      </c>
      <c r="BC15">
        <v>1.1</v>
      </c>
      <c r="BD15">
        <v>4</v>
      </c>
      <c r="BE15">
        <v>3.205521256</v>
      </c>
      <c r="BF15" t="s">
        <v>60</v>
      </c>
    </row>
    <row r="16" spans="1:58">
      <c r="A16" t="s">
        <v>58</v>
      </c>
      <c r="B16">
        <v>45</v>
      </c>
      <c r="C16">
        <v>1</v>
      </c>
      <c r="D16" t="s">
        <v>73</v>
      </c>
      <c r="E16" t="s">
        <v>5</v>
      </c>
      <c r="F16">
        <v>1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>
        <v>3</v>
      </c>
      <c r="N16">
        <v>4</v>
      </c>
      <c r="O16">
        <v>4</v>
      </c>
      <c r="P16">
        <v>5</v>
      </c>
      <c r="Q16">
        <v>2</v>
      </c>
      <c r="R16">
        <v>4</v>
      </c>
      <c r="S16">
        <v>5</v>
      </c>
      <c r="T16">
        <v>5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2</v>
      </c>
      <c r="AB16">
        <v>3</v>
      </c>
      <c r="AC16">
        <v>5</v>
      </c>
      <c r="AD16">
        <v>5</v>
      </c>
      <c r="AE16">
        <v>5</v>
      </c>
      <c r="AF16">
        <v>4</v>
      </c>
      <c r="AG16">
        <v>4</v>
      </c>
      <c r="AH16">
        <v>4</v>
      </c>
      <c r="AI16">
        <v>3</v>
      </c>
      <c r="AJ16">
        <v>3</v>
      </c>
      <c r="AK16">
        <v>3</v>
      </c>
      <c r="AL16">
        <v>4</v>
      </c>
      <c r="AM16">
        <v>4</v>
      </c>
      <c r="AN16">
        <v>4</v>
      </c>
      <c r="AO16">
        <v>3</v>
      </c>
      <c r="AP16">
        <v>4</v>
      </c>
      <c r="AQ16">
        <v>3</v>
      </c>
      <c r="AR16">
        <v>4</v>
      </c>
      <c r="AS16">
        <v>4</v>
      </c>
      <c r="AT16">
        <v>4</v>
      </c>
      <c r="AU16">
        <v>4</v>
      </c>
      <c r="AV16">
        <v>3</v>
      </c>
      <c r="AW16">
        <f t="shared" si="0"/>
        <v>3.75</v>
      </c>
      <c r="AX16">
        <f t="shared" si="1"/>
        <v>4.25</v>
      </c>
      <c r="AY16">
        <f t="shared" si="2"/>
        <v>3.66666666666667</v>
      </c>
      <c r="AZ16">
        <v>4</v>
      </c>
      <c r="BA16">
        <v>3.75</v>
      </c>
      <c r="BB16">
        <v>3.833333333</v>
      </c>
      <c r="BC16">
        <v>1.2</v>
      </c>
      <c r="BD16">
        <v>3</v>
      </c>
      <c r="BE16">
        <v>3.561927233</v>
      </c>
      <c r="BF16" t="s">
        <v>60</v>
      </c>
    </row>
    <row r="17" spans="1:58">
      <c r="A17" t="s">
        <v>58</v>
      </c>
      <c r="B17">
        <v>35</v>
      </c>
      <c r="C17">
        <v>0</v>
      </c>
      <c r="D17" t="s">
        <v>64</v>
      </c>
      <c r="E17" t="s">
        <v>7</v>
      </c>
      <c r="F17">
        <v>0</v>
      </c>
      <c r="G17">
        <v>0</v>
      </c>
      <c r="H17">
        <v>1</v>
      </c>
      <c r="I17">
        <v>0</v>
      </c>
      <c r="J17">
        <v>0</v>
      </c>
      <c r="K17">
        <v>3</v>
      </c>
      <c r="L17">
        <v>4</v>
      </c>
      <c r="M17">
        <v>2</v>
      </c>
      <c r="N17">
        <v>3</v>
      </c>
      <c r="O17">
        <v>3</v>
      </c>
      <c r="P17">
        <v>2</v>
      </c>
      <c r="Q17">
        <v>4</v>
      </c>
      <c r="R17">
        <v>4</v>
      </c>
      <c r="S17">
        <v>4</v>
      </c>
      <c r="T17">
        <v>5</v>
      </c>
      <c r="U17">
        <v>3</v>
      </c>
      <c r="V17">
        <v>3</v>
      </c>
      <c r="W17">
        <v>4</v>
      </c>
      <c r="X17">
        <v>4</v>
      </c>
      <c r="Y17">
        <v>4</v>
      </c>
      <c r="Z17">
        <v>4</v>
      </c>
      <c r="AA17">
        <v>3</v>
      </c>
      <c r="AB17">
        <v>4</v>
      </c>
      <c r="AC17">
        <v>5</v>
      </c>
      <c r="AD17">
        <v>4</v>
      </c>
      <c r="AE17">
        <v>3</v>
      </c>
      <c r="AF17">
        <v>4</v>
      </c>
      <c r="AG17">
        <v>4</v>
      </c>
      <c r="AH17">
        <v>4</v>
      </c>
      <c r="AI17">
        <v>4</v>
      </c>
      <c r="AJ17">
        <v>3</v>
      </c>
      <c r="AK17">
        <v>3</v>
      </c>
      <c r="AL17">
        <v>4</v>
      </c>
      <c r="AM17">
        <v>4</v>
      </c>
      <c r="AN17">
        <v>4</v>
      </c>
      <c r="AO17">
        <v>5</v>
      </c>
      <c r="AP17">
        <v>5</v>
      </c>
      <c r="AQ17">
        <v>5</v>
      </c>
      <c r="AR17">
        <v>4</v>
      </c>
      <c r="AS17">
        <v>5</v>
      </c>
      <c r="AT17">
        <v>5</v>
      </c>
      <c r="AU17">
        <v>3</v>
      </c>
      <c r="AV17">
        <v>4</v>
      </c>
      <c r="AW17">
        <f t="shared" si="0"/>
        <v>3.5</v>
      </c>
      <c r="AX17">
        <f t="shared" si="1"/>
        <v>3.75</v>
      </c>
      <c r="AY17">
        <f t="shared" si="2"/>
        <v>3.66666666666667</v>
      </c>
      <c r="AZ17">
        <v>3.75</v>
      </c>
      <c r="BA17">
        <v>4.25</v>
      </c>
      <c r="BB17">
        <v>4.055555556</v>
      </c>
      <c r="BC17">
        <v>1.5</v>
      </c>
      <c r="BD17">
        <v>1</v>
      </c>
      <c r="BE17">
        <v>3.629843556</v>
      </c>
      <c r="BF17" t="s">
        <v>60</v>
      </c>
    </row>
    <row r="18" spans="1:58">
      <c r="A18" t="s">
        <v>58</v>
      </c>
      <c r="B18">
        <v>35</v>
      </c>
      <c r="C18">
        <v>0</v>
      </c>
      <c r="D18" t="s">
        <v>70</v>
      </c>
      <c r="E18" t="s">
        <v>75</v>
      </c>
      <c r="F18">
        <v>0</v>
      </c>
      <c r="G18">
        <v>1</v>
      </c>
      <c r="H18">
        <v>0</v>
      </c>
      <c r="I18">
        <v>0</v>
      </c>
      <c r="J18">
        <v>1</v>
      </c>
      <c r="K18">
        <v>2</v>
      </c>
      <c r="L18">
        <v>2</v>
      </c>
      <c r="M18">
        <v>2</v>
      </c>
      <c r="N18">
        <v>2</v>
      </c>
      <c r="O18">
        <v>1</v>
      </c>
      <c r="P18">
        <v>3</v>
      </c>
      <c r="Q18">
        <v>4</v>
      </c>
      <c r="R18">
        <v>1</v>
      </c>
      <c r="S18">
        <v>2</v>
      </c>
      <c r="T18">
        <v>1</v>
      </c>
      <c r="U18">
        <v>3</v>
      </c>
      <c r="V18">
        <v>3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3</v>
      </c>
      <c r="AE18">
        <v>1</v>
      </c>
      <c r="AF18">
        <v>1</v>
      </c>
      <c r="AG18">
        <v>2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3</v>
      </c>
      <c r="AN18">
        <v>2</v>
      </c>
      <c r="AO18">
        <v>2</v>
      </c>
      <c r="AP18">
        <v>2</v>
      </c>
      <c r="AQ18">
        <v>2</v>
      </c>
      <c r="AR18">
        <v>3</v>
      </c>
      <c r="AS18">
        <v>2</v>
      </c>
      <c r="AT18">
        <v>2</v>
      </c>
      <c r="AU18">
        <v>2</v>
      </c>
      <c r="AV18">
        <v>3</v>
      </c>
      <c r="AW18">
        <f t="shared" si="0"/>
        <v>1.75</v>
      </c>
      <c r="AX18">
        <f t="shared" si="1"/>
        <v>1.25</v>
      </c>
      <c r="AY18">
        <f t="shared" si="2"/>
        <v>1.66666666666667</v>
      </c>
      <c r="AZ18">
        <v>1.625</v>
      </c>
      <c r="BA18">
        <v>1.75</v>
      </c>
      <c r="BB18">
        <v>1.722222222</v>
      </c>
      <c r="BC18">
        <v>2</v>
      </c>
      <c r="BD18">
        <v>4</v>
      </c>
      <c r="BE18">
        <v>1.843504722</v>
      </c>
      <c r="BF18" t="s">
        <v>67</v>
      </c>
    </row>
    <row r="19" spans="1:58">
      <c r="A19" t="s">
        <v>58</v>
      </c>
      <c r="B19">
        <v>45</v>
      </c>
      <c r="C19">
        <v>0</v>
      </c>
      <c r="D19" t="s">
        <v>64</v>
      </c>
      <c r="E19" t="s">
        <v>76</v>
      </c>
      <c r="F19">
        <v>0</v>
      </c>
      <c r="G19">
        <v>1</v>
      </c>
      <c r="H19">
        <v>1</v>
      </c>
      <c r="I19">
        <v>1</v>
      </c>
      <c r="J19">
        <v>1</v>
      </c>
      <c r="K19">
        <v>3</v>
      </c>
      <c r="L19">
        <v>1</v>
      </c>
      <c r="M19">
        <v>3</v>
      </c>
      <c r="N19">
        <v>2</v>
      </c>
      <c r="O19">
        <v>2</v>
      </c>
      <c r="P19">
        <v>3</v>
      </c>
      <c r="Q19">
        <v>3</v>
      </c>
      <c r="R19">
        <v>2</v>
      </c>
      <c r="S19">
        <v>3</v>
      </c>
      <c r="T19">
        <v>3</v>
      </c>
      <c r="U19">
        <v>3</v>
      </c>
      <c r="V19">
        <v>3</v>
      </c>
      <c r="W19">
        <v>2</v>
      </c>
      <c r="X19">
        <v>2</v>
      </c>
      <c r="Y19">
        <v>2</v>
      </c>
      <c r="Z19">
        <v>2</v>
      </c>
      <c r="AA19">
        <v>3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3</v>
      </c>
      <c r="AP19">
        <v>3</v>
      </c>
      <c r="AQ19">
        <v>3</v>
      </c>
      <c r="AR19">
        <v>2</v>
      </c>
      <c r="AS19">
        <v>2</v>
      </c>
      <c r="AT19">
        <v>2</v>
      </c>
      <c r="AU19">
        <v>2</v>
      </c>
      <c r="AV19">
        <v>3</v>
      </c>
      <c r="AW19">
        <f t="shared" si="0"/>
        <v>2.75</v>
      </c>
      <c r="AX19">
        <f>AVERAGE(AG19,AE19,AC19,AK19)</f>
        <v>2</v>
      </c>
      <c r="AY19">
        <f>AVERAGE(AD19,AB19,AJ19)</f>
        <v>2</v>
      </c>
      <c r="AZ19">
        <v>2.625</v>
      </c>
      <c r="BA19">
        <v>2.25</v>
      </c>
      <c r="BB19">
        <v>2.166666667</v>
      </c>
      <c r="BC19">
        <v>4.6</v>
      </c>
      <c r="BD19">
        <v>1</v>
      </c>
      <c r="BE19">
        <v>2.494473367</v>
      </c>
      <c r="BF19" t="s">
        <v>63</v>
      </c>
    </row>
    <row r="20" spans="1:58">
      <c r="A20" t="s">
        <v>58</v>
      </c>
      <c r="B20">
        <v>35</v>
      </c>
      <c r="C20">
        <v>0</v>
      </c>
      <c r="D20" t="s">
        <v>73</v>
      </c>
      <c r="E20" t="s">
        <v>6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3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3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2</v>
      </c>
      <c r="AW20">
        <f t="shared" si="0"/>
        <v>2.25</v>
      </c>
      <c r="AX20">
        <f>AVERAGE(AG20,AE20,AC20,AK20)</f>
        <v>2.25</v>
      </c>
      <c r="AY20">
        <f>AVERAGE(AD20,AB20,AJ20)</f>
        <v>2</v>
      </c>
      <c r="AZ20">
        <v>2.125</v>
      </c>
      <c r="BA20">
        <v>2</v>
      </c>
      <c r="BB20">
        <v>2.055555556</v>
      </c>
      <c r="BC20">
        <v>1</v>
      </c>
      <c r="BD20">
        <v>3</v>
      </c>
      <c r="BE20">
        <v>2.004855556</v>
      </c>
      <c r="BF20" t="s">
        <v>63</v>
      </c>
    </row>
    <row r="21" spans="1:58">
      <c r="A21" t="s">
        <v>58</v>
      </c>
      <c r="B21">
        <v>35</v>
      </c>
      <c r="C21">
        <v>0</v>
      </c>
      <c r="D21" t="s">
        <v>70</v>
      </c>
      <c r="E21" t="s">
        <v>5</v>
      </c>
      <c r="F21">
        <v>1</v>
      </c>
      <c r="G21">
        <v>0</v>
      </c>
      <c r="H21">
        <v>0</v>
      </c>
      <c r="I21">
        <v>0</v>
      </c>
      <c r="J21">
        <v>0</v>
      </c>
      <c r="K21">
        <v>3</v>
      </c>
      <c r="L21">
        <v>2</v>
      </c>
      <c r="M21">
        <v>2</v>
      </c>
      <c r="N21">
        <v>3</v>
      </c>
      <c r="O21">
        <v>1</v>
      </c>
      <c r="P21">
        <v>2</v>
      </c>
      <c r="Q21">
        <v>3</v>
      </c>
      <c r="R21">
        <v>4</v>
      </c>
      <c r="S21">
        <v>4</v>
      </c>
      <c r="T21">
        <v>2</v>
      </c>
      <c r="U21">
        <v>4</v>
      </c>
      <c r="V21">
        <v>3</v>
      </c>
      <c r="W21">
        <v>2</v>
      </c>
      <c r="X21">
        <v>2</v>
      </c>
      <c r="Y21">
        <v>2</v>
      </c>
      <c r="Z21">
        <v>4</v>
      </c>
      <c r="AA21">
        <v>4</v>
      </c>
      <c r="AB21">
        <v>2</v>
      </c>
      <c r="AC21">
        <v>3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1</v>
      </c>
      <c r="AN21">
        <v>4</v>
      </c>
      <c r="AO21">
        <v>1</v>
      </c>
      <c r="AP21">
        <v>3</v>
      </c>
      <c r="AQ21">
        <v>1</v>
      </c>
      <c r="AR21">
        <v>1</v>
      </c>
      <c r="AS21">
        <v>1</v>
      </c>
      <c r="AT21">
        <v>3</v>
      </c>
      <c r="AU21">
        <v>2</v>
      </c>
      <c r="AV21">
        <v>2</v>
      </c>
      <c r="AW21">
        <f t="shared" si="0"/>
        <v>4</v>
      </c>
      <c r="AX21">
        <f>AVERAGE(AG21,AE21,AC21,AK21)</f>
        <v>2.25</v>
      </c>
      <c r="AY21">
        <f>AVERAGE(AD21,AB21,AJ21)</f>
        <v>1.66666666666667</v>
      </c>
      <c r="AZ21">
        <v>3.375</v>
      </c>
      <c r="BA21">
        <v>2.25</v>
      </c>
      <c r="BB21">
        <v>1.722222222</v>
      </c>
      <c r="BC21">
        <v>1.2</v>
      </c>
      <c r="BD21">
        <v>4</v>
      </c>
      <c r="BE21">
        <v>2.405614122</v>
      </c>
      <c r="BF21" t="s">
        <v>63</v>
      </c>
    </row>
    <row r="22" spans="1:58">
      <c r="A22" t="s">
        <v>58</v>
      </c>
      <c r="B22">
        <v>25</v>
      </c>
      <c r="C22">
        <v>0</v>
      </c>
      <c r="D22" t="s">
        <v>77</v>
      </c>
      <c r="E22" t="s">
        <v>68</v>
      </c>
      <c r="F22">
        <v>0</v>
      </c>
      <c r="G22">
        <v>1</v>
      </c>
      <c r="H22">
        <v>1</v>
      </c>
      <c r="I22">
        <v>0</v>
      </c>
      <c r="J22">
        <v>0</v>
      </c>
      <c r="K22">
        <v>3</v>
      </c>
      <c r="L22">
        <v>1</v>
      </c>
      <c r="M22">
        <v>1</v>
      </c>
      <c r="N22">
        <v>2</v>
      </c>
      <c r="O22">
        <v>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5</v>
      </c>
      <c r="AB22">
        <v>4</v>
      </c>
      <c r="AC22">
        <v>3</v>
      </c>
      <c r="AD22">
        <v>2</v>
      </c>
      <c r="AE22">
        <v>2</v>
      </c>
      <c r="AF22">
        <v>3</v>
      </c>
      <c r="AG22">
        <v>2</v>
      </c>
      <c r="AH22">
        <v>2</v>
      </c>
      <c r="AI22">
        <v>1</v>
      </c>
      <c r="AJ22">
        <v>2</v>
      </c>
      <c r="AK22">
        <v>3</v>
      </c>
      <c r="AL22">
        <v>3</v>
      </c>
      <c r="AM22">
        <v>2</v>
      </c>
      <c r="AN22">
        <v>5</v>
      </c>
      <c r="AO22">
        <v>1</v>
      </c>
      <c r="AP22">
        <v>5</v>
      </c>
      <c r="AQ22">
        <v>5</v>
      </c>
      <c r="AR22">
        <v>5</v>
      </c>
      <c r="AS22">
        <v>1</v>
      </c>
      <c r="AT22">
        <v>2</v>
      </c>
      <c r="AU22">
        <v>1</v>
      </c>
      <c r="AV22">
        <v>1</v>
      </c>
      <c r="AW22">
        <f t="shared" si="0"/>
        <v>2</v>
      </c>
      <c r="AX22">
        <f>AVERAGE(AG22,AE22,AC22,AK22)</f>
        <v>2.5</v>
      </c>
      <c r="AY22">
        <f>AVERAGE(AD22,AB22,AJ22)</f>
        <v>2.66666666666667</v>
      </c>
      <c r="AZ22">
        <v>1.5</v>
      </c>
      <c r="BA22">
        <v>1.25</v>
      </c>
      <c r="BB22">
        <v>2.611111111</v>
      </c>
      <c r="BC22">
        <v>2.5</v>
      </c>
      <c r="BD22">
        <v>1</v>
      </c>
      <c r="BE22">
        <v>1.806910111</v>
      </c>
      <c r="BF2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Patient_actual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bollam</cp:lastModifiedBy>
  <dcterms:created xsi:type="dcterms:W3CDTF">2026-02-05T07:10:21Z</dcterms:created>
  <dcterms:modified xsi:type="dcterms:W3CDTF">2026-02-05T09:01:47Z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DE4C726EEE834A9FB8209BE0D97C95F6_13</vt:lpwstr>
  </property>
  <property fmtid="{D5CDD505-2E9C-101B-9397-08002B2CF9AE}" pid="3" name="KSOProductBuildVer">
    <vt:lpwstr>1033-12.2.0.23196</vt:lpwstr>
  </property>
</Properties>
</file>