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710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<sst xmlns="http://schemas.openxmlformats.org/spreadsheetml/2006/main" count="251" uniqueCount="65">
  <si>
    <t xml:space="preserve"> family member</t>
  </si>
  <si>
    <t xml:space="preserve"> Age</t>
  </si>
  <si>
    <t xml:space="preserve"> Gender</t>
  </si>
  <si>
    <t xml:space="preserve"> Type_of_cancer</t>
  </si>
  <si>
    <t>Cancer_score</t>
  </si>
  <si>
    <t>Chemotherapy</t>
  </si>
  <si>
    <t>Hormone Therapy</t>
  </si>
  <si>
    <t>Surgery</t>
  </si>
  <si>
    <t>Targeted Therapy</t>
  </si>
  <si>
    <t>Radiation Therapy</t>
  </si>
  <si>
    <t>Medication</t>
  </si>
  <si>
    <t>patient_alive</t>
  </si>
  <si>
    <t xml:space="preserve">exp_anxiety_depression_emotional exhaustion </t>
  </si>
  <si>
    <t xml:space="preserve">worry _health deterioration_possible death </t>
  </si>
  <si>
    <t xml:space="preserve">feel_guilty </t>
  </si>
  <si>
    <t xml:space="preserve">sleep_disturbed </t>
  </si>
  <si>
    <t xml:space="preserve">socialactiv_reduced </t>
  </si>
  <si>
    <t xml:space="preserve"> strained_your_relationships</t>
  </si>
  <si>
    <t>give up hobbies_personal interests</t>
  </si>
  <si>
    <t xml:space="preserve"> little_ no time for yourself</t>
  </si>
  <si>
    <t xml:space="preserve"> lost_income_leave_work</t>
  </si>
  <si>
    <t xml:space="preserve">medical_expenses_increased </t>
  </si>
  <si>
    <t>affected_performance</t>
  </si>
  <si>
    <t xml:space="preserve"> risk_jobloss </t>
  </si>
  <si>
    <t>rest_sleep</t>
  </si>
  <si>
    <t>physically_exhausted</t>
  </si>
  <si>
    <t xml:space="preserve">missed_ownmedical </t>
  </si>
  <si>
    <t>overwhelmed</t>
  </si>
  <si>
    <t xml:space="preserve"> difficult_to_manage</t>
  </si>
  <si>
    <t>unclear_expectations</t>
  </si>
  <si>
    <t xml:space="preserve"> burden </t>
  </si>
  <si>
    <t xml:space="preserve">closer_to_patient </t>
  </si>
  <si>
    <t>sense_of _purpose</t>
  </si>
  <si>
    <t>sleep_score</t>
  </si>
  <si>
    <t>Financial_Score</t>
  </si>
  <si>
    <t>Social_Score</t>
  </si>
  <si>
    <t>Anxiety_Score</t>
  </si>
  <si>
    <t>Treatment_Score</t>
  </si>
  <si>
    <t>Psychological_Score</t>
  </si>
  <si>
    <t>Emotional_Burden_Raw</t>
  </si>
  <si>
    <t>Protective_factor</t>
  </si>
  <si>
    <t>Emotion_Score</t>
  </si>
  <si>
    <t>Physical &amp; Financial Strain Score</t>
  </si>
  <si>
    <t>PCA_distress_index</t>
  </si>
  <si>
    <t xml:space="preserve">Rating </t>
  </si>
  <si>
    <t>Caregivers</t>
  </si>
  <si>
    <t>Cervical_Cancer</t>
  </si>
  <si>
    <t>Stomach_Cancer</t>
  </si>
  <si>
    <t>A woman's uterus</t>
  </si>
  <si>
    <t>Oral_Cavity_Cancer</t>
  </si>
  <si>
    <t>Breast_Cancer</t>
  </si>
  <si>
    <t xml:space="preserve">Pancreatic_Cancer </t>
  </si>
  <si>
    <t>Lung_Cancer</t>
  </si>
  <si>
    <t>Blood_Cancer</t>
  </si>
  <si>
    <t xml:space="preserve">Hodkins Lymphoma </t>
  </si>
  <si>
    <t xml:space="preserve">Bone marrow </t>
  </si>
  <si>
    <t>Prostrate</t>
  </si>
  <si>
    <t>RCC</t>
  </si>
  <si>
    <t>Prostate_Cancer cancer</t>
  </si>
  <si>
    <t>Muktiple Myeloma</t>
  </si>
  <si>
    <t xml:space="preserve">liver cancer </t>
  </si>
  <si>
    <t xml:space="preserve">Multiple_mailoma </t>
  </si>
  <si>
    <t>Brain_Cancer</t>
  </si>
  <si>
    <t>Prostate_Cancer</t>
  </si>
  <si>
    <t xml:space="preserve">Blood_Cancer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</si>
</sst>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 wrapText="1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numFmt numFmtId="0" formatCode="General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alignment vertical="center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alignment vertical="center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alignment vertical="center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alignment vertical="center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alignment vertical="center"/>
    </dxf>
    <dxf>
      <font>
        <name val="Arial"/>
        <scheme val="none"/>
        <b val="0"/>
        <i val="0"/>
        <strike val="0"/>
        <u val="none"/>
        <sz val="10"/>
        <color theme="1"/>
      </font>
      <numFmt numFmtId="0" formatCode="General"/>
      <alignment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96370BBE-FA3F-45F7-B30F-E7C3660524D9}">
      <tableStyleElement type="wholeTable" dxfId="22"/>
      <tableStyleElement type="headerRow" dxfId="21"/>
      <tableStyleElement type="firstRowStripe" dxfId="20"/>
      <tableStyleElement type="secondRowStripe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Form_Responses" displayName="Form_Responses" ref="A1:AS104">
  <autoFilter xmlns:etc="http://www.wps.cn/officeDocument/2017/etCustomData" ref="A1:AS104" etc:filterBottomFollowUsedRange="0"/>
  <tableColumns count="45">
    <tableColumn id="4" name=" family member"/>
    <tableColumn id="5" name=" Age"/>
    <tableColumn id="6" name=" Gender"/>
    <tableColumn id="9" name=" Type_of_cancer"/>
    <tableColumn id="1" name="Cancer_score" dataDxfId="0">
      <calculatedColumnFormula>IF(OR(D2="Blood_Cancer",D2="Leukemia",D2="Lymphoma",D2="Brain_Cancer",D2="Pancreatic_Cancer"),5,IF(OR(D2="Lung_Cancer",D2="Liver_ Cancer",D2="Stomach_Cancer",D2="Ovarian_Cancer"),4,IF(OR(D2="Cervical_Cancer",D2="Colorectal_Cancer",D2="Head_and_Neck Cancer"),3,IF(OR(D2="Breast_ Cancer",D2="Prostate_Cancer"),2,1))))</calculatedColumnFormula>
    </tableColumn>
    <tableColumn id="2" name="Chemotherapy" dataDxfId="1">
      <calculatedColumnFormula>IF(ISNUMBER(SEARCH("Chemotherapy",#REF!)),1,0)</calculatedColumnFormula>
    </tableColumn>
    <tableColumn id="3" name="Hormone Therapy" dataDxfId="2">
      <calculatedColumnFormula>IF(ISNUMBER(SEARCH("Hormone Therapy",#REF!)),1,0)</calculatedColumnFormula>
    </tableColumn>
    <tableColumn id="13" name="Surgery" dataDxfId="3">
      <calculatedColumnFormula>IF(ISNUMBER(SEARCH("Surgery",#REF!)),1,0)</calculatedColumnFormula>
    </tableColumn>
    <tableColumn id="16" name="Targeted Therapy" dataDxfId="4">
      <calculatedColumnFormula>IF(ISNUMBER(SEARCH(" Targeted Therapy",#REF!)),1,0)</calculatedColumnFormula>
    </tableColumn>
    <tableColumn id="15" name="Radiation Therapy" dataDxfId="5">
      <calculatedColumnFormula>IF(ISNUMBER(SEARCH("Radiation Therapy",#REF!)),1,0)</calculatedColumnFormula>
    </tableColumn>
    <tableColumn id="14" name="Medication" dataDxfId="6">
      <calculatedColumnFormula>IF(ISNUMBER(SEARCH("Medication",#REF!)),1,0)</calculatedColumnFormula>
    </tableColumn>
    <tableColumn id="11" name="patient_alive"/>
    <tableColumn id="18" name="exp_anxiety_depression_emotional exhaustion "/>
    <tableColumn id="19" name="worry _health deterioration_possible death "/>
    <tableColumn id="20" name="feel_guilty "/>
    <tableColumn id="21" name="sleep_disturbed "/>
    <tableColumn id="22" name="socialactiv_reduced "/>
    <tableColumn id="23" name=" strained_your_relationships"/>
    <tableColumn id="24" name="give up hobbies_personal interests"/>
    <tableColumn id="25" name=" little_ no time for yourself"/>
    <tableColumn id="26" name=" lost_income_leave_work"/>
    <tableColumn id="27" name="medical_expenses_increased "/>
    <tableColumn id="28" name="affected_performance"/>
    <tableColumn id="29" name=" risk_jobloss "/>
    <tableColumn id="30" name="rest_sleep"/>
    <tableColumn id="31" name="physically_exhausted"/>
    <tableColumn id="32" name="missed_ownmedical "/>
    <tableColumn id="33" name="overwhelmed"/>
    <tableColumn id="34" name=" difficult_to_manage"/>
    <tableColumn id="35" name="unclear_expectations"/>
    <tableColumn id="36" name=" burden "/>
    <tableColumn id="37" name="closer_to_patient "/>
    <tableColumn id="38" name="sense_of _purpose"/>
    <tableColumn id="7" name="sleep_score" dataDxfId="7">
      <calculatedColumnFormula>AVERAGE(Y2,P2)</calculatedColumnFormula>
    </tableColumn>
    <tableColumn id="8" name="Financial_Score" dataDxfId="8">
      <calculatedColumnFormula>AVERAGE(U2,V2,AA2)</calculatedColumnFormula>
    </tableColumn>
    <tableColumn id="10" name="Social_Score" dataDxfId="9">
      <calculatedColumnFormula>AVERAGE(T2,Q2,W2)</calculatedColumnFormula>
    </tableColumn>
    <tableColumn id="12" name="Anxiety_Score" dataDxfId="10">
      <calculatedColumnFormula>AVERAGE(M2,O2,AD2)</calculatedColumnFormula>
    </tableColumn>
    <tableColumn id="17" name="Treatment_Score" dataDxfId="11">
      <calculatedColumnFormula>(1.3*#REF!)+(0.7*#REF!)+(1*#REF!)+(1.2*#REF!)+(1.1*#REF!)+(0.5*#REF!)</calculatedColumnFormula>
    </tableColumn>
    <tableColumn id="39" name="Psychological_Score" dataDxfId="12">
      <calculatedColumnFormula array="1">Ave</calculatedColumnFormula>
    </tableColumn>
    <tableColumn id="40" name="Emotional_Burden_Raw" dataDxfId="13">
      <calculatedColumnFormula array="1">Av</calculatedColumnFormula>
    </tableColumn>
    <tableColumn id="41" name="Protective_factor" dataDxfId="14">
      <calculatedColumnFormula>AVERAGE(#REF!,#REF!)</calculatedColumnFormula>
    </tableColumn>
    <tableColumn id="42" name="Emotion_Score" dataDxfId="15">
      <calculatedColumnFormula>Form_Responses[[#This Row],[Emotional_Burden_Raw]]-(0.5*Form_Responses[[#This Row],[Protective_factor]])</calculatedColumnFormula>
    </tableColumn>
    <tableColumn id="43" name="Physical &amp; Financial Strain Score" dataDxfId="16">
      <calculatedColumnFormula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calculatedColumnFormula>
    </tableColumn>
    <tableColumn id="44" name="PCA_distress_index" dataDxfId="17">
      <calculatedColumnFormula>(0.275007*Form_Responses[[#This Row],[Psychological_Score]])+(0.270956*Form_Responses[[#This Row],[Emotional_Burden_Raw]])+(0.326776*Form_Responses[[#This Row],[Physical &amp; Financial Strain Score]])+(0.094265*Form_Responses[[#This Row],[Treatment_Score]]+(0.032997*E2))</calculatedColumnFormula>
    </tableColumn>
    <tableColumn id="45" name="Rating " dataDxfId="18">
      <calculatedColumnFormula>IF(Form_Responses[[#This Row],[PCA_distress_index]]&lt;1.5,"Low",IF(Form_Responses[[#This Row],[PCA_distress_index]]&lt;2.7,"Moderate","High"))</calculatedColumnFormula>
    </tableColumn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S104"/>
  <sheetViews>
    <sheetView tabSelected="1" zoomScale="85" zoomScaleNormal="85" topLeftCell="O1" workbookViewId="0">
      <pane ySplit="1" topLeftCell="A23" activePane="bottomLeft" state="frozen"/>
      <selection/>
      <selection pane="bottomLeft" activeCell="AK3" sqref="AK3"/>
    </sheetView>
  </sheetViews>
  <sheetFormatPr defaultColWidth="12.6363636363636" defaultRowHeight="15.75" customHeight="1"/>
  <cols>
    <col min="1" max="1" width="37.6363636363636" customWidth="1"/>
    <col min="2" max="2" width="28.7272727272727" customWidth="1"/>
    <col min="3" max="3" width="31.7272727272727" customWidth="1"/>
    <col min="4" max="4" width="37.6363636363636" customWidth="1"/>
    <col min="5" max="6" width="37.3909090909091" customWidth="1"/>
    <col min="7" max="11" width="37.6363636363636" customWidth="1"/>
    <col min="12" max="12" width="34.6363636363636" customWidth="1"/>
    <col min="13" max="32" width="37.6363636363636" customWidth="1"/>
    <col min="33" max="37" width="33.2727272727273" customWidth="1"/>
    <col min="38" max="38" width="35.0909090909091" customWidth="1"/>
    <col min="39" max="42" width="18.9090909090909" customWidth="1"/>
    <col min="43" max="43" width="35.2727272727273" customWidth="1"/>
    <col min="44" max="44" width="19.7272727272727" customWidth="1"/>
    <col min="45" max="45" width="30.1818181818182" customWidth="1"/>
  </cols>
  <sheetData>
    <row r="1" ht="22.5" customHeight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5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ht="22.5" customHeight="1" spans="1:45">
      <c r="A2" s="2" t="s">
        <v>45</v>
      </c>
      <c r="B2" s="2">
        <v>65</v>
      </c>
      <c r="C2" s="2">
        <v>1</v>
      </c>
      <c r="D2" s="2" t="s">
        <v>46</v>
      </c>
      <c r="E2" s="3">
        <f t="shared" ref="E2:E33" si="0">IF(OR(D2="Blood_Cancer",D2="Leukemia",D2="Lymphoma",D2="Brain_Cancer",D2="Pancreatic_Cancer"),5,IF(OR(D2="Lung_Cancer",D2="Liver_ Cancer",D2="Stomach_Cancer",D2="Ovarian_Cancer"),4,IF(OR(D2="Cervical_Cancer",D2="Colorectal_Cancer",D2="Head_and_Neck Cancer"),3,IF(OR(D2="Breast_ Cancer",D2="Prostate_Cancer"),2,1))))</f>
        <v>3</v>
      </c>
      <c r="F2" s="2">
        <v>0</v>
      </c>
      <c r="G2" s="2">
        <v>0</v>
      </c>
      <c r="H2" s="2">
        <v>1</v>
      </c>
      <c r="I2" s="2">
        <v>0</v>
      </c>
      <c r="J2" s="2">
        <v>0</v>
      </c>
      <c r="K2" s="2">
        <v>0</v>
      </c>
      <c r="L2" s="2">
        <v>1</v>
      </c>
      <c r="M2" s="2">
        <v>4</v>
      </c>
      <c r="N2" s="2">
        <v>5</v>
      </c>
      <c r="O2" s="2">
        <v>5</v>
      </c>
      <c r="P2" s="2">
        <v>5</v>
      </c>
      <c r="Q2" s="2">
        <v>4</v>
      </c>
      <c r="R2" s="2">
        <v>3</v>
      </c>
      <c r="S2" s="2">
        <v>4</v>
      </c>
      <c r="T2" s="2">
        <v>2</v>
      </c>
      <c r="U2" s="2">
        <v>5</v>
      </c>
      <c r="V2" s="2">
        <v>3</v>
      </c>
      <c r="W2" s="2">
        <v>1</v>
      </c>
      <c r="X2" s="2">
        <v>3</v>
      </c>
      <c r="Y2" s="2">
        <v>4</v>
      </c>
      <c r="Z2" s="2">
        <v>4</v>
      </c>
      <c r="AA2" s="2">
        <v>1</v>
      </c>
      <c r="AB2" s="2">
        <v>4</v>
      </c>
      <c r="AC2" s="2">
        <v>3</v>
      </c>
      <c r="AD2" s="2">
        <v>1</v>
      </c>
      <c r="AE2" s="2">
        <v>2</v>
      </c>
      <c r="AF2" s="2">
        <v>4</v>
      </c>
      <c r="AG2" s="2">
        <v>3</v>
      </c>
      <c r="AH2" s="4">
        <f t="shared" ref="AH2:AH33" si="1">AVERAGE(Y2,P2)</f>
        <v>4.5</v>
      </c>
      <c r="AI2" s="4">
        <f t="shared" ref="AI2:AI33" si="2">AVERAGE(U2,V2,AA2)</f>
        <v>3</v>
      </c>
      <c r="AJ2" s="4">
        <f t="shared" ref="AJ2:AJ33" si="3">AVERAGE(T2,Q2,W2)</f>
        <v>2.33333333333333</v>
      </c>
      <c r="AK2" s="4">
        <f t="shared" ref="AK2:AK33" si="4">AVERAGE(M2,O2,AD2)</f>
        <v>3.33333333333333</v>
      </c>
      <c r="AL2">
        <f t="shared" ref="AL2:AL65" si="5">(1.3*F2)+(0.7*G2)+(1*H2)+(1.2*I2)+(1.1*J2)+(0.5*K2)</f>
        <v>1</v>
      </c>
      <c r="AM2">
        <f>AVERAGE(M2,N2,O2,AD2)</f>
        <v>3.75</v>
      </c>
      <c r="AN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2">
        <f t="shared" ref="AO2:AO65" si="6">AVERAGE(AF2,AG2)</f>
        <v>3.5</v>
      </c>
      <c r="AP2">
        <f>Form_Responses[[#This Row],[Emotional_Burden_Raw]]-(0.5*Form_Responses[[#This Row],[Protective_factor]])</f>
        <v>1.41666666666667</v>
      </c>
      <c r="AQ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Row],[Treatment_Score]]+(0.032997*E2))</f>
        <v>3.06288758333333</v>
      </c>
      <c r="AS2" t="str">
        <f>IF(Form_Responses[[#This Row],[PCA_distress_index]]&lt;1.5,"Low",IF(Form_Responses[[#This Row],[PCA_distress_index]]&lt;2.7,"Moderate","High"))</f>
        <v>High</v>
      </c>
    </row>
    <row r="3" ht="22.5" customHeight="1" spans="1:45">
      <c r="A3" s="2" t="s">
        <v>45</v>
      </c>
      <c r="B3" s="2">
        <v>25</v>
      </c>
      <c r="C3" s="2">
        <v>1</v>
      </c>
      <c r="D3" s="2" t="s">
        <v>47</v>
      </c>
      <c r="E3" s="4">
        <f t="shared" si="0"/>
        <v>4</v>
      </c>
      <c r="F3" s="2">
        <v>1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1</v>
      </c>
      <c r="M3" s="2">
        <v>3</v>
      </c>
      <c r="N3" s="2">
        <v>3</v>
      </c>
      <c r="O3" s="2">
        <v>3</v>
      </c>
      <c r="P3" s="2">
        <v>3</v>
      </c>
      <c r="Q3" s="2">
        <v>3</v>
      </c>
      <c r="R3" s="2">
        <v>2</v>
      </c>
      <c r="S3" s="2">
        <v>2</v>
      </c>
      <c r="T3" s="2">
        <v>2</v>
      </c>
      <c r="U3" s="2">
        <v>2</v>
      </c>
      <c r="V3" s="2">
        <v>5</v>
      </c>
      <c r="W3" s="2">
        <v>3</v>
      </c>
      <c r="X3" s="2">
        <v>2</v>
      </c>
      <c r="Y3" s="2">
        <v>2</v>
      </c>
      <c r="Z3" s="2">
        <v>2</v>
      </c>
      <c r="AA3" s="2">
        <v>2</v>
      </c>
      <c r="AB3" s="2">
        <v>2</v>
      </c>
      <c r="AC3" s="2">
        <v>2</v>
      </c>
      <c r="AD3" s="2">
        <v>2</v>
      </c>
      <c r="AE3" s="2">
        <v>2</v>
      </c>
      <c r="AF3" s="2">
        <v>2</v>
      </c>
      <c r="AG3" s="2">
        <v>2</v>
      </c>
      <c r="AH3" s="4">
        <f t="shared" si="1"/>
        <v>2.5</v>
      </c>
      <c r="AI3" s="4">
        <f t="shared" si="2"/>
        <v>3</v>
      </c>
      <c r="AJ3" s="4">
        <f t="shared" si="3"/>
        <v>2.66666666666667</v>
      </c>
      <c r="AK3" s="4">
        <f t="shared" si="4"/>
        <v>2.66666666666667</v>
      </c>
      <c r="AL3">
        <f t="shared" si="5"/>
        <v>1.3</v>
      </c>
      <c r="AM3">
        <f t="shared" ref="AM3:AM18" si="7">AVERAGE(M3,N3,O3,AD3)</f>
        <v>2.75</v>
      </c>
      <c r="AN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3">
        <f t="shared" si="6"/>
        <v>2</v>
      </c>
      <c r="AP3">
        <f>Form_Responses[[#This Row],[Emotional_Burden_Raw]]-(0.5*Form_Responses[[#This Row],[Protective_factor]])</f>
        <v>1.16666666666667</v>
      </c>
      <c r="AQ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2.57142857142857</v>
      </c>
      <c r="AR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Row],[Treatment_Score]]+(0.032997*E3))</f>
        <v>2.43815422619048</v>
      </c>
      <c r="AS3" t="str">
        <f>IF(Form_Responses[[#This Row],[PCA_distress_index]]&lt;1.5,"Low",IF(Form_Responses[[#This Row],[PCA_distress_index]]&lt;2.7,"Moderate","High"))</f>
        <v>Moderate</v>
      </c>
    </row>
    <row r="4" ht="22.5" customHeight="1" spans="1:45">
      <c r="A4" s="2" t="s">
        <v>45</v>
      </c>
      <c r="B4" s="2">
        <v>25</v>
      </c>
      <c r="C4" s="2">
        <v>0</v>
      </c>
      <c r="D4" s="2" t="s">
        <v>46</v>
      </c>
      <c r="E4" s="4">
        <f t="shared" si="0"/>
        <v>3</v>
      </c>
      <c r="F4" s="2">
        <v>0</v>
      </c>
      <c r="G4" s="2">
        <v>0</v>
      </c>
      <c r="H4" s="2">
        <v>1</v>
      </c>
      <c r="I4" s="2">
        <v>0</v>
      </c>
      <c r="J4" s="2">
        <v>1</v>
      </c>
      <c r="K4" s="2">
        <v>0</v>
      </c>
      <c r="L4" s="2">
        <v>1</v>
      </c>
      <c r="M4" s="2">
        <v>3</v>
      </c>
      <c r="N4" s="2">
        <v>2</v>
      </c>
      <c r="O4" s="2">
        <v>2</v>
      </c>
      <c r="P4" s="2">
        <v>1</v>
      </c>
      <c r="Q4" s="2">
        <v>3</v>
      </c>
      <c r="R4" s="2">
        <v>1</v>
      </c>
      <c r="S4" s="2">
        <v>1</v>
      </c>
      <c r="T4" s="2">
        <v>1</v>
      </c>
      <c r="U4" s="2">
        <v>2</v>
      </c>
      <c r="V4" s="2">
        <v>4</v>
      </c>
      <c r="W4" s="2">
        <v>3</v>
      </c>
      <c r="X4" s="2">
        <v>1</v>
      </c>
      <c r="Y4" s="2">
        <v>5</v>
      </c>
      <c r="Z4" s="2">
        <v>1</v>
      </c>
      <c r="AA4" s="2">
        <v>1</v>
      </c>
      <c r="AB4" s="2">
        <v>1</v>
      </c>
      <c r="AC4" s="2">
        <v>1</v>
      </c>
      <c r="AD4" s="2">
        <v>3</v>
      </c>
      <c r="AE4" s="2">
        <v>3</v>
      </c>
      <c r="AF4" s="2">
        <v>4</v>
      </c>
      <c r="AG4" s="2">
        <v>4</v>
      </c>
      <c r="AH4" s="4">
        <f t="shared" si="1"/>
        <v>3</v>
      </c>
      <c r="AI4" s="4">
        <f t="shared" si="2"/>
        <v>2.33333333333333</v>
      </c>
      <c r="AJ4" s="4">
        <f t="shared" si="3"/>
        <v>2.33333333333333</v>
      </c>
      <c r="AK4" s="4">
        <f t="shared" si="4"/>
        <v>2.66666666666667</v>
      </c>
      <c r="AL4">
        <f t="shared" si="5"/>
        <v>2.1</v>
      </c>
      <c r="AM4">
        <f t="shared" si="7"/>
        <v>2.5</v>
      </c>
      <c r="AN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1.66666666666667</v>
      </c>
      <c r="AO4">
        <f t="shared" si="6"/>
        <v>4</v>
      </c>
      <c r="AP4">
        <f>Form_Responses[[#This Row],[Emotional_Burden_Raw]]-(0.5*Form_Responses[[#This Row],[Protective_factor]])</f>
        <v>-0.333333333333333</v>
      </c>
      <c r="AQ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Row],[Treatment_Score]]+(0.032997*E4))</f>
        <v>2.22965719047619</v>
      </c>
      <c r="AS4" t="str">
        <f>IF(Form_Responses[[#This Row],[PCA_distress_index]]&lt;1.5,"Low",IF(Form_Responses[[#This Row],[PCA_distress_index]]&lt;2.7,"Moderate","High"))</f>
        <v>Moderate</v>
      </c>
    </row>
    <row r="5" ht="22.5" customHeight="1" spans="1:45">
      <c r="A5" s="2" t="s">
        <v>45</v>
      </c>
      <c r="B5" s="2">
        <v>25</v>
      </c>
      <c r="C5" s="2">
        <v>0</v>
      </c>
      <c r="D5" s="2" t="s">
        <v>48</v>
      </c>
      <c r="E5" s="4">
        <f t="shared" si="0"/>
        <v>1</v>
      </c>
      <c r="F5" s="2">
        <v>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1</v>
      </c>
      <c r="M5" s="2">
        <v>4</v>
      </c>
      <c r="N5" s="2">
        <v>2</v>
      </c>
      <c r="O5" s="2">
        <v>4</v>
      </c>
      <c r="P5" s="2">
        <v>4</v>
      </c>
      <c r="Q5" s="2">
        <v>2</v>
      </c>
      <c r="R5" s="2">
        <v>1</v>
      </c>
      <c r="S5" s="2">
        <v>5</v>
      </c>
      <c r="T5" s="2">
        <v>3</v>
      </c>
      <c r="U5" s="2">
        <v>1</v>
      </c>
      <c r="V5" s="2">
        <v>2</v>
      </c>
      <c r="W5" s="2">
        <v>3</v>
      </c>
      <c r="X5" s="2">
        <v>1</v>
      </c>
      <c r="Y5" s="2">
        <v>4</v>
      </c>
      <c r="Z5" s="2">
        <v>4</v>
      </c>
      <c r="AA5" s="2">
        <v>1</v>
      </c>
      <c r="AB5" s="2">
        <v>3</v>
      </c>
      <c r="AC5" s="2">
        <v>3</v>
      </c>
      <c r="AD5" s="2">
        <v>3</v>
      </c>
      <c r="AE5" s="2">
        <v>2</v>
      </c>
      <c r="AF5" s="2">
        <v>5</v>
      </c>
      <c r="AG5" s="2">
        <v>4</v>
      </c>
      <c r="AH5" s="4">
        <f t="shared" si="1"/>
        <v>4</v>
      </c>
      <c r="AI5" s="4">
        <f t="shared" si="2"/>
        <v>1.33333333333333</v>
      </c>
      <c r="AJ5" s="4">
        <f t="shared" si="3"/>
        <v>2.66666666666667</v>
      </c>
      <c r="AK5" s="4">
        <f t="shared" si="4"/>
        <v>3.66666666666667</v>
      </c>
      <c r="AL5">
        <f t="shared" si="5"/>
        <v>1.3</v>
      </c>
      <c r="AM5">
        <f t="shared" si="7"/>
        <v>3.25</v>
      </c>
      <c r="AN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5">
        <f t="shared" si="6"/>
        <v>4.5</v>
      </c>
      <c r="AP5">
        <f>Form_Responses[[#This Row],[Emotional_Burden_Raw]]-(0.5*Form_Responses[[#This Row],[Protective_factor]])</f>
        <v>0.416666666666667</v>
      </c>
      <c r="AQ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2.28571428571429</v>
      </c>
      <c r="AR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Row],[Treatment_Score]]+(0.032997*E5))</f>
        <v>2.5187801547619</v>
      </c>
      <c r="AS5" t="str">
        <f>IF(Form_Responses[[#This Row],[PCA_distress_index]]&lt;1.5,"Low",IF(Form_Responses[[#This Row],[PCA_distress_index]]&lt;2.7,"Moderate","High"))</f>
        <v>Moderate</v>
      </c>
    </row>
    <row r="6" ht="22.5" customHeight="1" spans="1:45">
      <c r="A6" s="2" t="s">
        <v>45</v>
      </c>
      <c r="B6" s="2">
        <v>25</v>
      </c>
      <c r="C6" s="2">
        <v>1</v>
      </c>
      <c r="D6" s="2" t="s">
        <v>49</v>
      </c>
      <c r="E6" s="4">
        <f t="shared" si="0"/>
        <v>1</v>
      </c>
      <c r="F6" s="2">
        <v>1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5</v>
      </c>
      <c r="N6" s="2">
        <v>4</v>
      </c>
      <c r="O6" s="2">
        <v>5</v>
      </c>
      <c r="P6" s="2">
        <v>5</v>
      </c>
      <c r="Q6" s="2">
        <v>3</v>
      </c>
      <c r="R6" s="2">
        <v>2</v>
      </c>
      <c r="S6" s="2">
        <v>3</v>
      </c>
      <c r="T6" s="2">
        <v>1</v>
      </c>
      <c r="U6" s="2">
        <v>1</v>
      </c>
      <c r="V6" s="2">
        <v>5</v>
      </c>
      <c r="W6" s="2">
        <v>3</v>
      </c>
      <c r="X6" s="2">
        <v>1</v>
      </c>
      <c r="Y6" s="2">
        <v>2</v>
      </c>
      <c r="Z6" s="2">
        <v>1</v>
      </c>
      <c r="AA6" s="2">
        <v>1</v>
      </c>
      <c r="AB6" s="2">
        <v>1</v>
      </c>
      <c r="AC6" s="2">
        <v>1</v>
      </c>
      <c r="AD6" s="2">
        <v>1</v>
      </c>
      <c r="AE6" s="2">
        <v>2</v>
      </c>
      <c r="AF6" s="2">
        <v>3</v>
      </c>
      <c r="AG6" s="2">
        <v>3</v>
      </c>
      <c r="AH6" s="4">
        <f t="shared" si="1"/>
        <v>3.5</v>
      </c>
      <c r="AI6" s="4">
        <f t="shared" si="2"/>
        <v>2.33333333333333</v>
      </c>
      <c r="AJ6" s="4">
        <f t="shared" si="3"/>
        <v>2.33333333333333</v>
      </c>
      <c r="AK6" s="4">
        <f t="shared" si="4"/>
        <v>3.66666666666667</v>
      </c>
      <c r="AL6">
        <f t="shared" si="5"/>
        <v>1.3</v>
      </c>
      <c r="AM6">
        <f t="shared" si="7"/>
        <v>3.75</v>
      </c>
      <c r="AN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6">
        <f t="shared" si="6"/>
        <v>3</v>
      </c>
      <c r="AP6">
        <f>Form_Responses[[#This Row],[Emotional_Burden_Raw]]-(0.5*Form_Responses[[#This Row],[Protective_factor]])</f>
        <v>0.5</v>
      </c>
      <c r="AQ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</v>
      </c>
      <c r="AR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Row],[Treatment_Score]]+(0.032997*E6))</f>
        <v>2.38228175</v>
      </c>
      <c r="AS6" t="str">
        <f>IF(Form_Responses[[#This Row],[PCA_distress_index]]&lt;1.5,"Low",IF(Form_Responses[[#This Row],[PCA_distress_index]]&lt;2.7,"Moderate","High"))</f>
        <v>Moderate</v>
      </c>
    </row>
    <row r="7" ht="22.5" customHeight="1" spans="1:45">
      <c r="A7" s="2" t="s">
        <v>45</v>
      </c>
      <c r="B7" s="2">
        <v>25</v>
      </c>
      <c r="C7" s="2">
        <v>0</v>
      </c>
      <c r="D7" s="2" t="s">
        <v>50</v>
      </c>
      <c r="E7" s="4">
        <f t="shared" si="0"/>
        <v>1</v>
      </c>
      <c r="F7" s="2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1</v>
      </c>
      <c r="M7" s="2">
        <v>5</v>
      </c>
      <c r="N7" s="2">
        <v>5</v>
      </c>
      <c r="O7" s="2">
        <v>5</v>
      </c>
      <c r="P7" s="2">
        <v>4</v>
      </c>
      <c r="Q7" s="2">
        <v>4</v>
      </c>
      <c r="R7" s="2">
        <v>3</v>
      </c>
      <c r="S7" s="2">
        <v>3</v>
      </c>
      <c r="T7" s="2">
        <v>3</v>
      </c>
      <c r="U7" s="2">
        <v>3</v>
      </c>
      <c r="V7" s="2">
        <v>5</v>
      </c>
      <c r="W7" s="2">
        <v>3</v>
      </c>
      <c r="X7" s="2">
        <v>1</v>
      </c>
      <c r="Y7" s="2">
        <v>3</v>
      </c>
      <c r="Z7" s="2">
        <v>3</v>
      </c>
      <c r="AA7" s="2">
        <v>4</v>
      </c>
      <c r="AB7" s="2">
        <v>2</v>
      </c>
      <c r="AC7" s="2">
        <v>4</v>
      </c>
      <c r="AD7" s="2">
        <v>1</v>
      </c>
      <c r="AE7" s="2">
        <v>1</v>
      </c>
      <c r="AF7" s="2">
        <v>5</v>
      </c>
      <c r="AG7" s="2">
        <v>4</v>
      </c>
      <c r="AH7" s="4">
        <f t="shared" si="1"/>
        <v>3.5</v>
      </c>
      <c r="AI7" s="4">
        <f t="shared" si="2"/>
        <v>4</v>
      </c>
      <c r="AJ7" s="4">
        <f t="shared" si="3"/>
        <v>3.33333333333333</v>
      </c>
      <c r="AK7" s="4">
        <f t="shared" si="4"/>
        <v>3.66666666666667</v>
      </c>
      <c r="AL7">
        <f t="shared" si="5"/>
        <v>1.3</v>
      </c>
      <c r="AM7">
        <f t="shared" si="7"/>
        <v>4</v>
      </c>
      <c r="AN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7">
        <f t="shared" si="6"/>
        <v>4.5</v>
      </c>
      <c r="AP7">
        <f>Form_Responses[[#This Row],[Emotional_Burden_Raw]]-(0.5*Form_Responses[[#This Row],[Protective_factor]])</f>
        <v>0.416666666666667</v>
      </c>
      <c r="AQ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Row],[Treatment_Score]]+(0.032997*E7))</f>
        <v>3.00512911904762</v>
      </c>
      <c r="AS7" t="str">
        <f>IF(Form_Responses[[#This Row],[PCA_distress_index]]&lt;1.5,"Low",IF(Form_Responses[[#This Row],[PCA_distress_index]]&lt;2.7,"Moderate","High"))</f>
        <v>High</v>
      </c>
    </row>
    <row r="8" ht="22.5" customHeight="1" spans="1:45">
      <c r="A8" s="2" t="s">
        <v>45</v>
      </c>
      <c r="B8" s="2">
        <v>25</v>
      </c>
      <c r="C8" s="2">
        <v>0</v>
      </c>
      <c r="D8" s="2" t="s">
        <v>51</v>
      </c>
      <c r="E8" s="4">
        <f t="shared" si="0"/>
        <v>1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4</v>
      </c>
      <c r="N8" s="2">
        <v>5</v>
      </c>
      <c r="O8" s="2">
        <v>4</v>
      </c>
      <c r="P8" s="2">
        <v>4</v>
      </c>
      <c r="Q8" s="2">
        <v>4</v>
      </c>
      <c r="R8" s="2">
        <v>3</v>
      </c>
      <c r="S8" s="2">
        <v>5</v>
      </c>
      <c r="T8" s="2">
        <v>5</v>
      </c>
      <c r="U8" s="2">
        <v>5</v>
      </c>
      <c r="V8" s="2">
        <v>5</v>
      </c>
      <c r="W8" s="2">
        <v>4</v>
      </c>
      <c r="X8" s="2">
        <v>5</v>
      </c>
      <c r="Y8" s="2">
        <v>1</v>
      </c>
      <c r="Z8" s="2">
        <v>4</v>
      </c>
      <c r="AA8" s="2">
        <v>4</v>
      </c>
      <c r="AB8" s="2">
        <v>4</v>
      </c>
      <c r="AC8" s="2">
        <v>5</v>
      </c>
      <c r="AD8" s="2">
        <v>3</v>
      </c>
      <c r="AE8" s="2">
        <v>5</v>
      </c>
      <c r="AF8" s="2">
        <v>5</v>
      </c>
      <c r="AG8" s="2">
        <v>4</v>
      </c>
      <c r="AH8" s="4">
        <f t="shared" si="1"/>
        <v>2.5</v>
      </c>
      <c r="AI8" s="4">
        <f t="shared" si="2"/>
        <v>4.66666666666667</v>
      </c>
      <c r="AJ8" s="4">
        <f t="shared" si="3"/>
        <v>4.33333333333333</v>
      </c>
      <c r="AK8" s="4">
        <f t="shared" si="4"/>
        <v>3.66666666666667</v>
      </c>
      <c r="AL8">
        <f t="shared" si="5"/>
        <v>1.3</v>
      </c>
      <c r="AM8">
        <f t="shared" si="7"/>
        <v>4</v>
      </c>
      <c r="AN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4.33333333333333</v>
      </c>
      <c r="AO8">
        <f t="shared" si="6"/>
        <v>4.5</v>
      </c>
      <c r="AP8">
        <f>Form_Responses[[#This Row],[Emotional_Burden_Raw]]-(0.5*Form_Responses[[#This Row],[Protective_factor]])</f>
        <v>2.08333333333333</v>
      </c>
      <c r="AQ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</v>
      </c>
      <c r="AR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Row],[Treatment_Score]]+(0.032997*E8))</f>
        <v>3.73681616666667</v>
      </c>
      <c r="AS8" t="str">
        <f>IF(Form_Responses[[#This Row],[PCA_distress_index]]&lt;1.5,"Low",IF(Form_Responses[[#This Row],[PCA_distress_index]]&lt;2.7,"Moderate","High"))</f>
        <v>High</v>
      </c>
    </row>
    <row r="9" ht="22.5" customHeight="1" spans="1:45">
      <c r="A9" s="2" t="s">
        <v>45</v>
      </c>
      <c r="B9" s="2">
        <v>25</v>
      </c>
      <c r="C9" s="2">
        <v>1</v>
      </c>
      <c r="D9" s="2" t="s">
        <v>49</v>
      </c>
      <c r="E9" s="4">
        <f t="shared" si="0"/>
        <v>1</v>
      </c>
      <c r="F9" s="2">
        <v>0</v>
      </c>
      <c r="G9" s="2">
        <v>0</v>
      </c>
      <c r="H9" s="2">
        <v>1</v>
      </c>
      <c r="I9" s="2">
        <v>0</v>
      </c>
      <c r="J9" s="2">
        <v>0</v>
      </c>
      <c r="K9" s="2">
        <v>0</v>
      </c>
      <c r="L9" s="2">
        <v>1</v>
      </c>
      <c r="M9" s="2">
        <v>5</v>
      </c>
      <c r="N9" s="2">
        <v>4</v>
      </c>
      <c r="O9" s="2">
        <v>5</v>
      </c>
      <c r="P9" s="2">
        <v>4</v>
      </c>
      <c r="Q9" s="2">
        <v>4</v>
      </c>
      <c r="R9" s="2">
        <v>3</v>
      </c>
      <c r="S9" s="2">
        <v>4</v>
      </c>
      <c r="T9" s="2">
        <v>5</v>
      </c>
      <c r="U9" s="2">
        <v>4</v>
      </c>
      <c r="V9" s="2">
        <v>5</v>
      </c>
      <c r="W9" s="2">
        <v>4</v>
      </c>
      <c r="X9" s="2">
        <v>4</v>
      </c>
      <c r="Y9" s="2">
        <v>4</v>
      </c>
      <c r="Z9" s="2">
        <v>4</v>
      </c>
      <c r="AA9" s="2">
        <v>4</v>
      </c>
      <c r="AB9" s="2">
        <v>4</v>
      </c>
      <c r="AC9" s="2">
        <v>5</v>
      </c>
      <c r="AD9" s="2">
        <v>3</v>
      </c>
      <c r="AE9" s="2">
        <v>4</v>
      </c>
      <c r="AF9" s="2">
        <v>4</v>
      </c>
      <c r="AG9" s="2">
        <v>4</v>
      </c>
      <c r="AH9" s="4">
        <f t="shared" si="1"/>
        <v>4</v>
      </c>
      <c r="AI9" s="4">
        <f t="shared" si="2"/>
        <v>4.33333333333333</v>
      </c>
      <c r="AJ9" s="4">
        <f t="shared" si="3"/>
        <v>4.33333333333333</v>
      </c>
      <c r="AK9" s="4">
        <f t="shared" si="4"/>
        <v>4.33333333333333</v>
      </c>
      <c r="AL9">
        <f t="shared" si="5"/>
        <v>1</v>
      </c>
      <c r="AM9">
        <f t="shared" si="7"/>
        <v>4.25</v>
      </c>
      <c r="AN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</v>
      </c>
      <c r="AO9">
        <f t="shared" si="6"/>
        <v>4</v>
      </c>
      <c r="AP9">
        <f>Form_Responses[[#This Row],[Emotional_Burden_Raw]]-(0.5*Form_Responses[[#This Row],[Protective_factor]])</f>
        <v>2</v>
      </c>
      <c r="AQ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4.14285714285714</v>
      </c>
      <c r="AR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Row],[Treatment_Score]]+(0.032997*E9))</f>
        <v>3.73365203571429</v>
      </c>
      <c r="AS9" t="str">
        <f>IF(Form_Responses[[#This Row],[PCA_distress_index]]&lt;1.5,"Low",IF(Form_Responses[[#This Row],[PCA_distress_index]]&lt;2.7,"Moderate","High"))</f>
        <v>High</v>
      </c>
    </row>
    <row r="10" ht="22.5" customHeight="1" spans="1:45">
      <c r="A10" s="2" t="s">
        <v>45</v>
      </c>
      <c r="B10" s="2">
        <v>25</v>
      </c>
      <c r="C10" s="2">
        <v>0</v>
      </c>
      <c r="D10" s="2" t="s">
        <v>52</v>
      </c>
      <c r="E10" s="4">
        <f t="shared" si="0"/>
        <v>4</v>
      </c>
      <c r="F10" s="2">
        <v>0</v>
      </c>
      <c r="G10" s="2">
        <v>0</v>
      </c>
      <c r="H10" s="2">
        <v>1</v>
      </c>
      <c r="I10" s="2">
        <v>0</v>
      </c>
      <c r="J10" s="2">
        <v>0</v>
      </c>
      <c r="K10" s="2">
        <v>0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4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1</v>
      </c>
      <c r="AH10" s="4">
        <f t="shared" si="1"/>
        <v>2.5</v>
      </c>
      <c r="AI10" s="4">
        <f t="shared" si="2"/>
        <v>1</v>
      </c>
      <c r="AJ10" s="4">
        <f t="shared" si="3"/>
        <v>1</v>
      </c>
      <c r="AK10" s="4">
        <f t="shared" si="4"/>
        <v>1</v>
      </c>
      <c r="AL10">
        <f t="shared" si="5"/>
        <v>1</v>
      </c>
      <c r="AM10">
        <f t="shared" si="7"/>
        <v>1</v>
      </c>
      <c r="AN1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</v>
      </c>
      <c r="AO10">
        <f t="shared" si="6"/>
        <v>1</v>
      </c>
      <c r="AP10">
        <f>Form_Responses[[#This Row],[Emotional_Burden_Raw]]-(0.5*Form_Responses[[#This Row],[Protective_factor]])</f>
        <v>0.5</v>
      </c>
      <c r="AQ1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1.42857142857143</v>
      </c>
      <c r="AR1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Row],[Treatment_Score]]+(0.032997*E10))</f>
        <v>1.23903885714286</v>
      </c>
      <c r="AS10" t="str">
        <f>IF(Form_Responses[[#This Row],[PCA_distress_index]]&lt;1.5,"Low",IF(Form_Responses[[#This Row],[PCA_distress_index]]&lt;2.7,"Moderate","High"))</f>
        <v>Low</v>
      </c>
    </row>
    <row r="11" ht="22.5" customHeight="1" spans="1:45">
      <c r="A11" s="2" t="s">
        <v>45</v>
      </c>
      <c r="B11" s="2">
        <v>55</v>
      </c>
      <c r="C11" s="2">
        <v>1</v>
      </c>
      <c r="D11" s="2" t="s">
        <v>50</v>
      </c>
      <c r="E11" s="4">
        <f t="shared" si="0"/>
        <v>1</v>
      </c>
      <c r="F11" s="2">
        <v>1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3</v>
      </c>
      <c r="N11" s="2">
        <v>5</v>
      </c>
      <c r="O11" s="2">
        <v>2</v>
      </c>
      <c r="P11" s="2">
        <v>2</v>
      </c>
      <c r="Q11" s="2">
        <v>3</v>
      </c>
      <c r="R11" s="2">
        <v>4</v>
      </c>
      <c r="S11" s="2">
        <v>1</v>
      </c>
      <c r="T11" s="2">
        <v>1</v>
      </c>
      <c r="U11" s="2">
        <v>1</v>
      </c>
      <c r="V11" s="2">
        <v>4</v>
      </c>
      <c r="W11" s="2">
        <v>1</v>
      </c>
      <c r="X11" s="2">
        <v>2</v>
      </c>
      <c r="Y11" s="2">
        <v>5</v>
      </c>
      <c r="Z11" s="2">
        <v>2</v>
      </c>
      <c r="AA11" s="2">
        <v>2</v>
      </c>
      <c r="AB11" s="2">
        <v>2</v>
      </c>
      <c r="AC11" s="2">
        <v>3</v>
      </c>
      <c r="AD11" s="2">
        <v>2</v>
      </c>
      <c r="AE11" s="2">
        <v>2</v>
      </c>
      <c r="AF11" s="2">
        <v>4</v>
      </c>
      <c r="AG11" s="2">
        <v>5</v>
      </c>
      <c r="AH11" s="4">
        <f t="shared" si="1"/>
        <v>3.5</v>
      </c>
      <c r="AI11" s="4">
        <f t="shared" si="2"/>
        <v>2.33333333333333</v>
      </c>
      <c r="AJ11" s="4">
        <f t="shared" si="3"/>
        <v>1.66666666666667</v>
      </c>
      <c r="AK11" s="4">
        <f t="shared" si="4"/>
        <v>2.33333333333333</v>
      </c>
      <c r="AL11">
        <f t="shared" si="5"/>
        <v>1.3</v>
      </c>
      <c r="AM11">
        <f t="shared" si="7"/>
        <v>3</v>
      </c>
      <c r="AN1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11">
        <f t="shared" si="6"/>
        <v>4.5</v>
      </c>
      <c r="AP11">
        <f>Form_Responses[[#This Row],[Emotional_Burden_Raw]]-(0.5*Form_Responses[[#This Row],[Protective_factor]])</f>
        <v>-0.0833333333333335</v>
      </c>
      <c r="AQ1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1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Row],[Treatment_Score]]+(0.032997*E11))</f>
        <v>2.36123269047619</v>
      </c>
      <c r="AS11" t="str">
        <f>IF(Form_Responses[[#This Row],[PCA_distress_index]]&lt;1.5,"Low",IF(Form_Responses[[#This Row],[PCA_distress_index]]&lt;2.7,"Moderate","High"))</f>
        <v>Moderate</v>
      </c>
    </row>
    <row r="12" ht="22.5" customHeight="1" spans="1:45">
      <c r="A12" s="2" t="s">
        <v>45</v>
      </c>
      <c r="B12" s="2">
        <v>25</v>
      </c>
      <c r="C12" s="2">
        <v>0</v>
      </c>
      <c r="D12" s="2" t="s">
        <v>52</v>
      </c>
      <c r="E12" s="4">
        <f t="shared" si="0"/>
        <v>4</v>
      </c>
      <c r="F12" s="2">
        <v>1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1</v>
      </c>
      <c r="M12" s="2">
        <v>2</v>
      </c>
      <c r="N12" s="2">
        <v>3</v>
      </c>
      <c r="O12" s="2">
        <v>5</v>
      </c>
      <c r="P12" s="2">
        <v>4</v>
      </c>
      <c r="Q12" s="2">
        <v>2</v>
      </c>
      <c r="R12" s="2">
        <v>1</v>
      </c>
      <c r="S12" s="2">
        <v>1</v>
      </c>
      <c r="T12" s="2">
        <v>2</v>
      </c>
      <c r="U12" s="2">
        <v>3</v>
      </c>
      <c r="V12" s="2">
        <v>5</v>
      </c>
      <c r="W12" s="2">
        <v>5</v>
      </c>
      <c r="X12" s="2">
        <v>2</v>
      </c>
      <c r="Y12" s="2">
        <v>3</v>
      </c>
      <c r="Z12" s="2">
        <v>4</v>
      </c>
      <c r="AA12" s="2">
        <v>4</v>
      </c>
      <c r="AB12" s="2">
        <v>4</v>
      </c>
      <c r="AC12" s="2">
        <v>5</v>
      </c>
      <c r="AD12" s="2">
        <v>3</v>
      </c>
      <c r="AE12" s="2">
        <v>1</v>
      </c>
      <c r="AF12" s="2">
        <v>2</v>
      </c>
      <c r="AG12" s="2">
        <v>2</v>
      </c>
      <c r="AH12" s="4">
        <f t="shared" si="1"/>
        <v>3.5</v>
      </c>
      <c r="AI12" s="4">
        <f t="shared" si="2"/>
        <v>4</v>
      </c>
      <c r="AJ12" s="4">
        <f t="shared" si="3"/>
        <v>3</v>
      </c>
      <c r="AK12" s="4">
        <f t="shared" si="4"/>
        <v>3.33333333333333</v>
      </c>
      <c r="AL12">
        <f t="shared" si="5"/>
        <v>1.3</v>
      </c>
      <c r="AM12">
        <f t="shared" si="7"/>
        <v>3.25</v>
      </c>
      <c r="AN1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1.83333333333333</v>
      </c>
      <c r="AO12">
        <f t="shared" si="6"/>
        <v>2</v>
      </c>
      <c r="AP12">
        <f>Form_Responses[[#This Row],[Emotional_Burden_Raw]]-(0.5*Form_Responses[[#This Row],[Protective_factor]])</f>
        <v>0.833333333333333</v>
      </c>
      <c r="AQ1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3.71428571428571</v>
      </c>
      <c r="AR1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Row],[Treatment_Score]]+(0.032997*E12))</f>
        <v>2.85879734523809</v>
      </c>
      <c r="AS12" t="str">
        <f>IF(Form_Responses[[#This Row],[PCA_distress_index]]&lt;1.5,"Low",IF(Form_Responses[[#This Row],[PCA_distress_index]]&lt;2.7,"Moderate","High"))</f>
        <v>High</v>
      </c>
    </row>
    <row r="13" ht="22.5" customHeight="1" spans="1:45">
      <c r="A13" s="2" t="s">
        <v>45</v>
      </c>
      <c r="B13" s="2">
        <v>25</v>
      </c>
      <c r="C13" s="2">
        <v>1</v>
      </c>
      <c r="D13" s="2" t="s">
        <v>53</v>
      </c>
      <c r="E13" s="4">
        <f t="shared" si="0"/>
        <v>5</v>
      </c>
      <c r="F13" s="2">
        <v>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1</v>
      </c>
      <c r="S13" s="2">
        <v>3</v>
      </c>
      <c r="T13" s="2">
        <v>4</v>
      </c>
      <c r="U13" s="2">
        <v>5</v>
      </c>
      <c r="V13" s="2">
        <v>5</v>
      </c>
      <c r="W13" s="2">
        <v>4</v>
      </c>
      <c r="X13" s="2">
        <v>4</v>
      </c>
      <c r="Y13" s="2">
        <v>2</v>
      </c>
      <c r="Z13" s="2">
        <v>4</v>
      </c>
      <c r="AA13" s="2">
        <v>4</v>
      </c>
      <c r="AB13" s="2">
        <v>4</v>
      </c>
      <c r="AC13" s="2">
        <v>5</v>
      </c>
      <c r="AD13" s="2">
        <v>3</v>
      </c>
      <c r="AE13" s="2">
        <v>2</v>
      </c>
      <c r="AF13" s="2">
        <v>5</v>
      </c>
      <c r="AG13" s="2">
        <v>5</v>
      </c>
      <c r="AH13" s="4">
        <f t="shared" si="1"/>
        <v>3.5</v>
      </c>
      <c r="AI13" s="4">
        <f t="shared" si="2"/>
        <v>4.66666666666667</v>
      </c>
      <c r="AJ13" s="4">
        <f t="shared" si="3"/>
        <v>4.33333333333333</v>
      </c>
      <c r="AK13" s="4">
        <f t="shared" si="4"/>
        <v>4.33333333333333</v>
      </c>
      <c r="AL13">
        <f t="shared" si="5"/>
        <v>1.3</v>
      </c>
      <c r="AM13">
        <f t="shared" si="7"/>
        <v>4.5</v>
      </c>
      <c r="AN1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13">
        <f t="shared" si="6"/>
        <v>5</v>
      </c>
      <c r="AP13">
        <f>Form_Responses[[#This Row],[Emotional_Burden_Raw]]-(0.5*Form_Responses[[#This Row],[Protective_factor]])</f>
        <v>0.666666666666667</v>
      </c>
      <c r="AQ1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</v>
      </c>
      <c r="AR1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Row],[Treatment_Score]]+(0.032997*E13))</f>
        <v>3.69019233333333</v>
      </c>
      <c r="AS13" t="str">
        <f>IF(Form_Responses[[#This Row],[PCA_distress_index]]&lt;1.5,"Low",IF(Form_Responses[[#This Row],[PCA_distress_index]]&lt;2.7,"Moderate","High"))</f>
        <v>High</v>
      </c>
    </row>
    <row r="14" ht="22.5" customHeight="1" spans="1:45">
      <c r="A14" s="2" t="s">
        <v>45</v>
      </c>
      <c r="B14" s="2">
        <v>55</v>
      </c>
      <c r="C14" s="2">
        <v>0</v>
      </c>
      <c r="D14" s="2" t="s">
        <v>50</v>
      </c>
      <c r="E14" s="4">
        <f t="shared" si="0"/>
        <v>1</v>
      </c>
      <c r="F14" s="2">
        <v>1</v>
      </c>
      <c r="G14" s="2">
        <v>0</v>
      </c>
      <c r="H14" s="2">
        <v>1</v>
      </c>
      <c r="I14" s="2">
        <v>1</v>
      </c>
      <c r="J14" s="2">
        <v>1</v>
      </c>
      <c r="K14" s="2">
        <v>0</v>
      </c>
      <c r="L14" s="2">
        <v>0</v>
      </c>
      <c r="M14" s="2">
        <v>4</v>
      </c>
      <c r="N14" s="2">
        <v>5</v>
      </c>
      <c r="O14" s="2">
        <v>4</v>
      </c>
      <c r="P14" s="2">
        <v>2</v>
      </c>
      <c r="Q14" s="2">
        <v>4</v>
      </c>
      <c r="R14" s="2">
        <v>4</v>
      </c>
      <c r="S14" s="2">
        <v>4</v>
      </c>
      <c r="T14" s="2">
        <v>4</v>
      </c>
      <c r="U14" s="2">
        <v>4</v>
      </c>
      <c r="V14" s="2">
        <v>3</v>
      </c>
      <c r="W14" s="2">
        <v>2</v>
      </c>
      <c r="X14" s="2">
        <v>1</v>
      </c>
      <c r="Y14" s="2">
        <v>3</v>
      </c>
      <c r="Z14" s="2">
        <v>5</v>
      </c>
      <c r="AA14" s="2">
        <v>2</v>
      </c>
      <c r="AB14" s="2">
        <v>4</v>
      </c>
      <c r="AC14" s="2">
        <v>3</v>
      </c>
      <c r="AD14" s="2">
        <v>3</v>
      </c>
      <c r="AE14" s="2">
        <v>3</v>
      </c>
      <c r="AF14" s="2">
        <v>4</v>
      </c>
      <c r="AG14" s="2">
        <v>4</v>
      </c>
      <c r="AH14" s="4">
        <f t="shared" si="1"/>
        <v>2.5</v>
      </c>
      <c r="AI14" s="4">
        <f t="shared" si="2"/>
        <v>3</v>
      </c>
      <c r="AJ14" s="4">
        <f t="shared" si="3"/>
        <v>3.33333333333333</v>
      </c>
      <c r="AK14" s="4">
        <f t="shared" si="4"/>
        <v>3.66666666666667</v>
      </c>
      <c r="AL14">
        <f t="shared" si="5"/>
        <v>4.6</v>
      </c>
      <c r="AM14">
        <f t="shared" si="7"/>
        <v>4</v>
      </c>
      <c r="AN1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3.83333333333333</v>
      </c>
      <c r="AO14">
        <f t="shared" si="6"/>
        <v>4</v>
      </c>
      <c r="AP14">
        <f>Form_Responses[[#This Row],[Emotional_Burden_Raw]]-(0.5*Form_Responses[[#This Row],[Protective_factor]])</f>
        <v>1.83333333333333</v>
      </c>
      <c r="AQ1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1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Row],[Treatment_Score]]+(0.032997*E14))</f>
        <v>3.53895438095238</v>
      </c>
      <c r="AS14" t="str">
        <f>IF(Form_Responses[[#This Row],[PCA_distress_index]]&lt;1.5,"Low",IF(Form_Responses[[#This Row],[PCA_distress_index]]&lt;2.7,"Moderate","High"))</f>
        <v>High</v>
      </c>
    </row>
    <row r="15" ht="22.5" customHeight="1" spans="1:45">
      <c r="A15" s="2" t="s">
        <v>45</v>
      </c>
      <c r="B15" s="2">
        <v>35</v>
      </c>
      <c r="C15" s="2">
        <v>1</v>
      </c>
      <c r="D15" s="2" t="s">
        <v>49</v>
      </c>
      <c r="E15" s="4">
        <f t="shared" si="0"/>
        <v>1</v>
      </c>
      <c r="F15" s="2">
        <v>1</v>
      </c>
      <c r="G15" s="2">
        <v>0</v>
      </c>
      <c r="H15" s="2">
        <v>1</v>
      </c>
      <c r="I15" s="2">
        <v>0</v>
      </c>
      <c r="J15" s="2">
        <v>1</v>
      </c>
      <c r="K15" s="2">
        <v>0</v>
      </c>
      <c r="L15" s="2">
        <v>0</v>
      </c>
      <c r="M15" s="2">
        <v>3</v>
      </c>
      <c r="N15" s="2">
        <v>3</v>
      </c>
      <c r="O15" s="2">
        <v>4</v>
      </c>
      <c r="P15" s="2">
        <v>5</v>
      </c>
      <c r="Q15" s="2">
        <v>5</v>
      </c>
      <c r="R15" s="2">
        <v>2</v>
      </c>
      <c r="S15" s="2">
        <v>2</v>
      </c>
      <c r="T15" s="2">
        <v>2</v>
      </c>
      <c r="U15" s="2">
        <v>1</v>
      </c>
      <c r="V15" s="2">
        <v>5</v>
      </c>
      <c r="W15" s="2">
        <v>5</v>
      </c>
      <c r="X15" s="2">
        <v>1</v>
      </c>
      <c r="Y15" s="2">
        <v>1</v>
      </c>
      <c r="Z15" s="2">
        <v>3</v>
      </c>
      <c r="AA15" s="2">
        <v>1</v>
      </c>
      <c r="AB15" s="2">
        <v>5</v>
      </c>
      <c r="AC15" s="2">
        <v>5</v>
      </c>
      <c r="AD15" s="2">
        <v>5</v>
      </c>
      <c r="AE15" s="2">
        <v>5</v>
      </c>
      <c r="AF15" s="2">
        <v>2</v>
      </c>
      <c r="AG15" s="2">
        <v>5</v>
      </c>
      <c r="AH15" s="4">
        <f t="shared" si="1"/>
        <v>3</v>
      </c>
      <c r="AI15" s="4">
        <f t="shared" si="2"/>
        <v>2.33333333333333</v>
      </c>
      <c r="AJ15" s="4">
        <f t="shared" si="3"/>
        <v>4</v>
      </c>
      <c r="AK15" s="4">
        <f t="shared" si="4"/>
        <v>4</v>
      </c>
      <c r="AL15">
        <f t="shared" si="5"/>
        <v>3.4</v>
      </c>
      <c r="AM15">
        <f t="shared" si="7"/>
        <v>3.75</v>
      </c>
      <c r="AN1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3.5</v>
      </c>
      <c r="AO15">
        <f t="shared" si="6"/>
        <v>3.5</v>
      </c>
      <c r="AP15">
        <f>Form_Responses[[#This Row],[Emotional_Burden_Raw]]-(0.5*Form_Responses[[#This Row],[Protective_factor]])</f>
        <v>1.75</v>
      </c>
      <c r="AQ1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1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Row],[Treatment_Score]]+(0.032997*E15))</f>
        <v>3.12671910714286</v>
      </c>
      <c r="AS15" t="str">
        <f>IF(Form_Responses[[#This Row],[PCA_distress_index]]&lt;1.5,"Low",IF(Form_Responses[[#This Row],[PCA_distress_index]]&lt;2.7,"Moderate","High"))</f>
        <v>High</v>
      </c>
    </row>
    <row r="16" ht="22.5" customHeight="1" spans="1:45">
      <c r="A16" s="2" t="s">
        <v>45</v>
      </c>
      <c r="B16" s="2">
        <v>25</v>
      </c>
      <c r="C16" s="2">
        <v>0</v>
      </c>
      <c r="D16" s="2" t="s">
        <v>52</v>
      </c>
      <c r="E16" s="4">
        <f t="shared" si="0"/>
        <v>4</v>
      </c>
      <c r="F16" s="2">
        <v>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4</v>
      </c>
      <c r="N16" s="2">
        <v>5</v>
      </c>
      <c r="O16" s="2">
        <v>5</v>
      </c>
      <c r="P16" s="2">
        <v>4</v>
      </c>
      <c r="Q16" s="2">
        <v>3</v>
      </c>
      <c r="R16" s="2">
        <v>3</v>
      </c>
      <c r="S16" s="2">
        <v>1</v>
      </c>
      <c r="T16" s="2">
        <v>4</v>
      </c>
      <c r="U16" s="2">
        <v>3</v>
      </c>
      <c r="V16" s="2">
        <v>5</v>
      </c>
      <c r="W16" s="2">
        <v>4</v>
      </c>
      <c r="X16" s="2">
        <v>2</v>
      </c>
      <c r="Y16" s="2">
        <v>1</v>
      </c>
      <c r="Z16" s="2">
        <v>3</v>
      </c>
      <c r="AA16" s="2">
        <v>4</v>
      </c>
      <c r="AB16" s="2">
        <v>4</v>
      </c>
      <c r="AC16" s="2">
        <v>5</v>
      </c>
      <c r="AD16" s="2">
        <v>5</v>
      </c>
      <c r="AE16" s="2">
        <v>4</v>
      </c>
      <c r="AF16" s="2">
        <v>5</v>
      </c>
      <c r="AG16" s="2">
        <v>4</v>
      </c>
      <c r="AH16" s="4">
        <f t="shared" si="1"/>
        <v>2.5</v>
      </c>
      <c r="AI16" s="4">
        <f t="shared" si="2"/>
        <v>4</v>
      </c>
      <c r="AJ16" s="4">
        <f t="shared" si="3"/>
        <v>3.66666666666667</v>
      </c>
      <c r="AK16" s="4">
        <f t="shared" si="4"/>
        <v>4.66666666666667</v>
      </c>
      <c r="AL16">
        <f t="shared" si="5"/>
        <v>1.3</v>
      </c>
      <c r="AM16">
        <f t="shared" si="7"/>
        <v>4.75</v>
      </c>
      <c r="AN1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16">
        <f t="shared" si="6"/>
        <v>4.5</v>
      </c>
      <c r="AP16">
        <f>Form_Responses[[#This Row],[Emotional_Burden_Raw]]-(0.5*Form_Responses[[#This Row],[Protective_factor]])</f>
        <v>0.916666666666667</v>
      </c>
      <c r="AQ1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1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Row],[Treatment_Score]]+(0.032997*E16))</f>
        <v>3.44585336904762</v>
      </c>
      <c r="AS16" t="str">
        <f>IF(Form_Responses[[#This Row],[PCA_distress_index]]&lt;1.5,"Low",IF(Form_Responses[[#This Row],[PCA_distress_index]]&lt;2.7,"Moderate","High"))</f>
        <v>High</v>
      </c>
    </row>
    <row r="17" ht="22.5" customHeight="1" spans="1:45">
      <c r="A17" s="2" t="s">
        <v>45</v>
      </c>
      <c r="B17" s="2">
        <v>55</v>
      </c>
      <c r="C17" s="2">
        <v>0</v>
      </c>
      <c r="D17" s="2" t="s">
        <v>54</v>
      </c>
      <c r="E17" s="4">
        <f t="shared" si="0"/>
        <v>1</v>
      </c>
      <c r="F17" s="2">
        <v>1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</v>
      </c>
      <c r="M17" s="2">
        <v>3</v>
      </c>
      <c r="N17" s="2">
        <v>2</v>
      </c>
      <c r="O17" s="2">
        <v>2</v>
      </c>
      <c r="P17" s="2">
        <v>1</v>
      </c>
      <c r="Q17" s="2">
        <v>2</v>
      </c>
      <c r="R17" s="2">
        <v>1</v>
      </c>
      <c r="S17" s="2">
        <v>1</v>
      </c>
      <c r="T17" s="2">
        <v>2</v>
      </c>
      <c r="U17" s="2">
        <v>4</v>
      </c>
      <c r="V17" s="2">
        <v>1</v>
      </c>
      <c r="W17" s="2">
        <v>1</v>
      </c>
      <c r="X17" s="2">
        <v>1</v>
      </c>
      <c r="Y17" s="2">
        <v>5</v>
      </c>
      <c r="Z17" s="2">
        <v>1</v>
      </c>
      <c r="AA17" s="2">
        <v>1</v>
      </c>
      <c r="AB17" s="2">
        <v>1</v>
      </c>
      <c r="AC17" s="2">
        <v>1</v>
      </c>
      <c r="AD17" s="2">
        <v>1</v>
      </c>
      <c r="AE17" s="2">
        <v>1</v>
      </c>
      <c r="AF17" s="2">
        <v>5</v>
      </c>
      <c r="AG17" s="2">
        <v>5</v>
      </c>
      <c r="AH17" s="4">
        <f t="shared" si="1"/>
        <v>3</v>
      </c>
      <c r="AI17" s="4">
        <f t="shared" si="2"/>
        <v>2</v>
      </c>
      <c r="AJ17" s="4">
        <f t="shared" si="3"/>
        <v>1.66666666666667</v>
      </c>
      <c r="AK17" s="4">
        <f t="shared" si="4"/>
        <v>2</v>
      </c>
      <c r="AL17">
        <f t="shared" si="5"/>
        <v>1.3</v>
      </c>
      <c r="AM17">
        <f t="shared" si="7"/>
        <v>2</v>
      </c>
      <c r="AN1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1.33333333333333</v>
      </c>
      <c r="AO17">
        <f t="shared" si="6"/>
        <v>5</v>
      </c>
      <c r="AP17">
        <f>Form_Responses[[#This Row],[Emotional_Burden_Raw]]-(0.5*Form_Responses[[#This Row],[Protective_factor]])</f>
        <v>-1.16666666666667</v>
      </c>
      <c r="AQ1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</v>
      </c>
      <c r="AR1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Row],[Treatment_Score]]+(0.032997*E17))</f>
        <v>1.72038216666667</v>
      </c>
      <c r="AS17" t="str">
        <f>IF(Form_Responses[[#This Row],[PCA_distress_index]]&lt;1.5,"Low",IF(Form_Responses[[#This Row],[PCA_distress_index]]&lt;2.7,"Moderate","High"))</f>
        <v>Moderate</v>
      </c>
    </row>
    <row r="18" ht="22.5" customHeight="1" spans="1:45">
      <c r="A18" s="2" t="s">
        <v>45</v>
      </c>
      <c r="B18" s="2">
        <v>25</v>
      </c>
      <c r="C18" s="2">
        <v>0</v>
      </c>
      <c r="D18" s="2" t="s">
        <v>47</v>
      </c>
      <c r="E18" s="4">
        <f t="shared" si="0"/>
        <v>4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3</v>
      </c>
      <c r="N18" s="2">
        <v>5</v>
      </c>
      <c r="O18" s="2">
        <v>3</v>
      </c>
      <c r="P18" s="2">
        <v>2</v>
      </c>
      <c r="Q18" s="2">
        <v>2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3</v>
      </c>
      <c r="Z18" s="2">
        <v>1</v>
      </c>
      <c r="AA18" s="2">
        <v>1</v>
      </c>
      <c r="AB18" s="2">
        <v>1</v>
      </c>
      <c r="AC18" s="2">
        <v>3</v>
      </c>
      <c r="AD18" s="2">
        <v>1</v>
      </c>
      <c r="AE18" s="2">
        <v>3</v>
      </c>
      <c r="AF18" s="2">
        <v>5</v>
      </c>
      <c r="AG18" s="2">
        <v>5</v>
      </c>
      <c r="AH18" s="4">
        <f t="shared" si="1"/>
        <v>2.5</v>
      </c>
      <c r="AI18" s="4">
        <f t="shared" si="2"/>
        <v>1</v>
      </c>
      <c r="AJ18" s="4">
        <f t="shared" si="3"/>
        <v>1.33333333333333</v>
      </c>
      <c r="AK18" s="4">
        <f t="shared" si="4"/>
        <v>2.33333333333333</v>
      </c>
      <c r="AL18">
        <f t="shared" si="5"/>
        <v>1.3</v>
      </c>
      <c r="AM18">
        <f t="shared" si="7"/>
        <v>3</v>
      </c>
      <c r="AN1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1.5</v>
      </c>
      <c r="AO18">
        <f t="shared" si="6"/>
        <v>5</v>
      </c>
      <c r="AP18">
        <f>Form_Responses[[#This Row],[Emotional_Burden_Raw]]-(0.5*Form_Responses[[#This Row],[Protective_factor]])</f>
        <v>-1</v>
      </c>
      <c r="AQ1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1.28571428571429</v>
      </c>
      <c r="AR1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Row],[Treatment_Score]]+(0.032997*E18))</f>
        <v>1.90612807142857</v>
      </c>
      <c r="AS18" t="str">
        <f>IF(Form_Responses[[#This Row],[PCA_distress_index]]&lt;1.5,"Low",IF(Form_Responses[[#This Row],[PCA_distress_index]]&lt;2.7,"Moderate","High"))</f>
        <v>Moderate</v>
      </c>
    </row>
    <row r="19" ht="22.5" customHeight="1" spans="1:45">
      <c r="A19" s="2" t="s">
        <v>45</v>
      </c>
      <c r="B19" s="2">
        <v>25</v>
      </c>
      <c r="C19" s="2">
        <v>1</v>
      </c>
      <c r="D19" s="2" t="s">
        <v>52</v>
      </c>
      <c r="E19" s="4">
        <f t="shared" si="0"/>
        <v>4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5</v>
      </c>
      <c r="N19" s="2">
        <v>5</v>
      </c>
      <c r="O19" s="2">
        <v>5</v>
      </c>
      <c r="P19" s="2">
        <v>5</v>
      </c>
      <c r="Q19" s="2">
        <v>4</v>
      </c>
      <c r="R19" s="2">
        <v>3</v>
      </c>
      <c r="S19" s="2">
        <v>5</v>
      </c>
      <c r="T19" s="2">
        <v>4</v>
      </c>
      <c r="U19" s="2">
        <v>5</v>
      </c>
      <c r="V19" s="2">
        <v>5</v>
      </c>
      <c r="W19" s="2">
        <v>4</v>
      </c>
      <c r="X19" s="2">
        <v>1</v>
      </c>
      <c r="Y19" s="2">
        <v>3</v>
      </c>
      <c r="Z19" s="2">
        <v>1</v>
      </c>
      <c r="AA19" s="2">
        <v>1</v>
      </c>
      <c r="AB19" s="2">
        <v>1</v>
      </c>
      <c r="AC19" s="2">
        <v>5</v>
      </c>
      <c r="AD19" s="2">
        <v>1</v>
      </c>
      <c r="AE19" s="2">
        <v>4</v>
      </c>
      <c r="AF19" s="2">
        <v>5</v>
      </c>
      <c r="AG19" s="2">
        <v>5</v>
      </c>
      <c r="AH19" s="4">
        <f t="shared" si="1"/>
        <v>4</v>
      </c>
      <c r="AI19" s="4">
        <f t="shared" si="2"/>
        <v>3.66666666666667</v>
      </c>
      <c r="AJ19" s="4">
        <f t="shared" si="3"/>
        <v>4</v>
      </c>
      <c r="AK19" s="4">
        <f t="shared" si="4"/>
        <v>3.66666666666667</v>
      </c>
      <c r="AL19">
        <f t="shared" si="5"/>
        <v>1.3</v>
      </c>
      <c r="AM19">
        <f t="shared" ref="AM19:AM37" si="8">AVERAGE(M19,N19,O19,AD19)</f>
        <v>4</v>
      </c>
      <c r="AN1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3.5</v>
      </c>
      <c r="AO19">
        <f t="shared" si="6"/>
        <v>5</v>
      </c>
      <c r="AP19">
        <f>Form_Responses[[#This Row],[Emotional_Burden_Raw]]-(0.5*Form_Responses[[#This Row],[Protective_factor]])</f>
        <v>1</v>
      </c>
      <c r="AQ1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1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Row],[Treatment_Score]]+(0.032997*E19))</f>
        <v>3.23655221428571</v>
      </c>
      <c r="AS19" t="str">
        <f>IF(Form_Responses[[#This Row],[PCA_distress_index]]&lt;1.5,"Low",IF(Form_Responses[[#This Row],[PCA_distress_index]]&lt;2.7,"Moderate","High"))</f>
        <v>High</v>
      </c>
    </row>
    <row r="20" ht="22.5" customHeight="1" spans="1:45">
      <c r="A20" s="2" t="s">
        <v>45</v>
      </c>
      <c r="B20" s="2">
        <v>25</v>
      </c>
      <c r="C20" s="2">
        <v>0</v>
      </c>
      <c r="D20" s="2" t="s">
        <v>49</v>
      </c>
      <c r="E20" s="4">
        <f t="shared" si="0"/>
        <v>1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1</v>
      </c>
      <c r="M20" s="2">
        <v>2</v>
      </c>
      <c r="N20" s="2">
        <v>4</v>
      </c>
      <c r="O20" s="2">
        <v>1</v>
      </c>
      <c r="P20" s="2">
        <v>4</v>
      </c>
      <c r="Q20" s="2">
        <v>3</v>
      </c>
      <c r="R20" s="2">
        <v>1</v>
      </c>
      <c r="S20" s="2">
        <v>2</v>
      </c>
      <c r="T20" s="2">
        <v>2</v>
      </c>
      <c r="U20" s="2">
        <v>3</v>
      </c>
      <c r="V20" s="2">
        <v>5</v>
      </c>
      <c r="W20" s="2">
        <v>4</v>
      </c>
      <c r="X20" s="2">
        <v>2</v>
      </c>
      <c r="Y20" s="2">
        <v>4</v>
      </c>
      <c r="Z20" s="2">
        <v>3</v>
      </c>
      <c r="AA20" s="2">
        <v>1</v>
      </c>
      <c r="AB20" s="2">
        <v>1</v>
      </c>
      <c r="AC20" s="2">
        <v>2</v>
      </c>
      <c r="AD20" s="2">
        <v>2</v>
      </c>
      <c r="AE20" s="2">
        <v>4</v>
      </c>
      <c r="AF20" s="2">
        <v>5</v>
      </c>
      <c r="AG20" s="2">
        <v>5</v>
      </c>
      <c r="AH20" s="4">
        <f t="shared" si="1"/>
        <v>4</v>
      </c>
      <c r="AI20" s="4">
        <f t="shared" si="2"/>
        <v>3</v>
      </c>
      <c r="AJ20" s="4">
        <f t="shared" si="3"/>
        <v>3</v>
      </c>
      <c r="AK20" s="4">
        <f t="shared" si="4"/>
        <v>1.66666666666667</v>
      </c>
      <c r="AL20">
        <f t="shared" si="5"/>
        <v>1</v>
      </c>
      <c r="AM20">
        <f t="shared" si="8"/>
        <v>2.25</v>
      </c>
      <c r="AN2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20">
        <f t="shared" si="6"/>
        <v>5</v>
      </c>
      <c r="AP20">
        <f>Form_Responses[[#This Row],[Emotional_Burden_Raw]]-(0.5*Form_Responses[[#This Row],[Protective_factor]])</f>
        <v>-0.333333333333333</v>
      </c>
      <c r="AQ2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2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Row],[Treatment_Score]]+(0.032997*E20))</f>
        <v>2.36010936904762</v>
      </c>
      <c r="AS20" t="str">
        <f>IF(Form_Responses[[#This Row],[PCA_distress_index]]&lt;1.5,"Low",IF(Form_Responses[[#This Row],[PCA_distress_index]]&lt;2.7,"Moderate","High"))</f>
        <v>Moderate</v>
      </c>
    </row>
    <row r="21" ht="22.5" customHeight="1" spans="1:45">
      <c r="A21" s="2" t="s">
        <v>45</v>
      </c>
      <c r="B21" s="2">
        <v>55</v>
      </c>
      <c r="C21" s="2">
        <v>0</v>
      </c>
      <c r="D21" s="2" t="s">
        <v>50</v>
      </c>
      <c r="E21" s="4">
        <f t="shared" si="0"/>
        <v>1</v>
      </c>
      <c r="F21" s="2">
        <v>1</v>
      </c>
      <c r="G21" s="2">
        <v>0</v>
      </c>
      <c r="H21" s="2">
        <v>1</v>
      </c>
      <c r="I21" s="2">
        <v>0</v>
      </c>
      <c r="J21" s="2">
        <v>1</v>
      </c>
      <c r="K21" s="2">
        <v>0</v>
      </c>
      <c r="L21" s="2">
        <v>1</v>
      </c>
      <c r="M21" s="2">
        <v>4</v>
      </c>
      <c r="N21" s="2">
        <v>1</v>
      </c>
      <c r="O21" s="2">
        <v>2</v>
      </c>
      <c r="P21" s="2">
        <v>1</v>
      </c>
      <c r="Q21" s="2">
        <v>5</v>
      </c>
      <c r="R21" s="2">
        <v>1</v>
      </c>
      <c r="S21" s="2">
        <v>2</v>
      </c>
      <c r="T21" s="2">
        <v>2</v>
      </c>
      <c r="U21" s="2">
        <v>4</v>
      </c>
      <c r="V21" s="2">
        <v>4</v>
      </c>
      <c r="W21" s="2">
        <v>5</v>
      </c>
      <c r="X21" s="2">
        <v>5</v>
      </c>
      <c r="Y21" s="2">
        <v>2</v>
      </c>
      <c r="Z21" s="2">
        <v>2</v>
      </c>
      <c r="AA21" s="2">
        <v>2</v>
      </c>
      <c r="AB21" s="2">
        <v>5</v>
      </c>
      <c r="AC21" s="2">
        <v>2</v>
      </c>
      <c r="AD21" s="2">
        <v>5</v>
      </c>
      <c r="AE21" s="2">
        <v>4</v>
      </c>
      <c r="AF21" s="2">
        <v>5</v>
      </c>
      <c r="AG21" s="2">
        <v>4</v>
      </c>
      <c r="AH21" s="4">
        <f t="shared" si="1"/>
        <v>1.5</v>
      </c>
      <c r="AI21" s="4">
        <f t="shared" si="2"/>
        <v>3.33333333333333</v>
      </c>
      <c r="AJ21" s="4">
        <f t="shared" si="3"/>
        <v>4</v>
      </c>
      <c r="AK21" s="4">
        <f t="shared" si="4"/>
        <v>3.66666666666667</v>
      </c>
      <c r="AL21">
        <f t="shared" si="5"/>
        <v>3.4</v>
      </c>
      <c r="AM21">
        <f t="shared" si="8"/>
        <v>3</v>
      </c>
      <c r="AN2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21">
        <f t="shared" si="6"/>
        <v>4.5</v>
      </c>
      <c r="AP21">
        <f>Form_Responses[[#This Row],[Emotional_Burden_Raw]]-(0.5*Form_Responses[[#This Row],[Protective_factor]])</f>
        <v>0.916666666666667</v>
      </c>
      <c r="AQ2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3.42857142857143</v>
      </c>
      <c r="AR2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Row],[Treatment_Score]]+(0.032997*E21))</f>
        <v>3.15692119047619</v>
      </c>
      <c r="AS21" t="str">
        <f>IF(Form_Responses[[#This Row],[PCA_distress_index]]&lt;1.5,"Low",IF(Form_Responses[[#This Row],[PCA_distress_index]]&lt;2.7,"Moderate","High"))</f>
        <v>High</v>
      </c>
    </row>
    <row r="22" ht="22.5" customHeight="1" spans="1:45">
      <c r="A22" s="2" t="s">
        <v>45</v>
      </c>
      <c r="B22" s="2">
        <v>55</v>
      </c>
      <c r="C22" s="2">
        <v>0</v>
      </c>
      <c r="D22" s="2" t="s">
        <v>55</v>
      </c>
      <c r="E22" s="4">
        <f t="shared" si="0"/>
        <v>1</v>
      </c>
      <c r="F22" s="2">
        <v>0</v>
      </c>
      <c r="G22" s="2">
        <v>0</v>
      </c>
      <c r="H22" s="2">
        <v>1</v>
      </c>
      <c r="I22" s="2">
        <v>1</v>
      </c>
      <c r="J22" s="2">
        <v>0</v>
      </c>
      <c r="K22" s="2">
        <v>0</v>
      </c>
      <c r="L22" s="2">
        <v>0</v>
      </c>
      <c r="M22" s="2">
        <v>5</v>
      </c>
      <c r="N22" s="2">
        <v>5</v>
      </c>
      <c r="O22" s="2">
        <v>5</v>
      </c>
      <c r="P22" s="2">
        <v>5</v>
      </c>
      <c r="Q22" s="2">
        <v>5</v>
      </c>
      <c r="R22" s="2">
        <v>4</v>
      </c>
      <c r="S22" s="2">
        <v>5</v>
      </c>
      <c r="T22" s="2">
        <v>5</v>
      </c>
      <c r="U22" s="2">
        <v>4</v>
      </c>
      <c r="V22" s="2">
        <v>5</v>
      </c>
      <c r="W22" s="2">
        <v>4</v>
      </c>
      <c r="X22" s="2">
        <v>1</v>
      </c>
      <c r="Y22" s="2">
        <v>1</v>
      </c>
      <c r="Z22" s="2">
        <v>3</v>
      </c>
      <c r="AA22" s="2">
        <v>5</v>
      </c>
      <c r="AB22" s="2">
        <v>3</v>
      </c>
      <c r="AC22" s="2">
        <v>3</v>
      </c>
      <c r="AD22" s="2">
        <v>3</v>
      </c>
      <c r="AE22" s="2">
        <v>5</v>
      </c>
      <c r="AF22" s="2">
        <v>5</v>
      </c>
      <c r="AG22" s="2">
        <v>5</v>
      </c>
      <c r="AH22" s="4">
        <f t="shared" si="1"/>
        <v>3</v>
      </c>
      <c r="AI22" s="4">
        <f t="shared" si="2"/>
        <v>4.66666666666667</v>
      </c>
      <c r="AJ22" s="4">
        <f t="shared" si="3"/>
        <v>4.66666666666667</v>
      </c>
      <c r="AK22" s="4">
        <f t="shared" si="4"/>
        <v>4.33333333333333</v>
      </c>
      <c r="AL22">
        <f t="shared" si="5"/>
        <v>2.2</v>
      </c>
      <c r="AM22">
        <f t="shared" si="8"/>
        <v>4.5</v>
      </c>
      <c r="AN2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4.5</v>
      </c>
      <c r="AO22">
        <f t="shared" si="6"/>
        <v>5</v>
      </c>
      <c r="AP22">
        <f>Form_Responses[[#This Row],[Emotional_Burden_Raw]]-(0.5*Form_Responses[[#This Row],[Protective_factor]])</f>
        <v>2</v>
      </c>
      <c r="AQ2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2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Row],[Treatment_Score]]+(0.032997*E22))</f>
        <v>3.77090607142857</v>
      </c>
      <c r="AS22" t="str">
        <f>IF(Form_Responses[[#This Row],[PCA_distress_index]]&lt;1.5,"Low",IF(Form_Responses[[#This Row],[PCA_distress_index]]&lt;2.7,"Moderate","High"))</f>
        <v>High</v>
      </c>
    </row>
    <row r="23" ht="22.5" customHeight="1" spans="1:45">
      <c r="A23" s="2" t="s">
        <v>45</v>
      </c>
      <c r="B23" s="2">
        <v>25</v>
      </c>
      <c r="C23" s="2">
        <v>1</v>
      </c>
      <c r="D23" s="2" t="s">
        <v>50</v>
      </c>
      <c r="E23" s="4">
        <f t="shared" si="0"/>
        <v>1</v>
      </c>
      <c r="F23" s="2">
        <v>0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1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4">
        <f t="shared" si="1"/>
        <v>1</v>
      </c>
      <c r="AI23" s="4">
        <f t="shared" si="2"/>
        <v>1</v>
      </c>
      <c r="AJ23" s="4">
        <f t="shared" si="3"/>
        <v>1</v>
      </c>
      <c r="AK23" s="4">
        <f t="shared" si="4"/>
        <v>1</v>
      </c>
      <c r="AL23">
        <f t="shared" si="5"/>
        <v>1</v>
      </c>
      <c r="AM23">
        <f t="shared" si="8"/>
        <v>1</v>
      </c>
      <c r="AN2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</v>
      </c>
      <c r="AO23">
        <f t="shared" si="6"/>
        <v>1</v>
      </c>
      <c r="AP23">
        <f>Form_Responses[[#This Row],[Emotional_Burden_Raw]]-(0.5*Form_Responses[[#This Row],[Protective_factor]])</f>
        <v>0.5</v>
      </c>
      <c r="AQ2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</v>
      </c>
      <c r="AR2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Row],[Treatment_Score]]+(0.032997*E23))</f>
        <v>1.000001</v>
      </c>
      <c r="AS23" t="str">
        <f>IF(Form_Responses[[#This Row],[PCA_distress_index]]&lt;1.5,"Low",IF(Form_Responses[[#This Row],[PCA_distress_index]]&lt;2.7,"Moderate","High"))</f>
        <v>Low</v>
      </c>
    </row>
    <row r="24" ht="22.5" customHeight="1" spans="1:45">
      <c r="A24" s="2" t="s">
        <v>45</v>
      </c>
      <c r="B24" s="2">
        <v>45</v>
      </c>
      <c r="C24" s="2">
        <v>0</v>
      </c>
      <c r="D24" s="2" t="s">
        <v>49</v>
      </c>
      <c r="E24" s="4">
        <f t="shared" si="0"/>
        <v>1</v>
      </c>
      <c r="F24" s="2">
        <v>1</v>
      </c>
      <c r="G24" s="2">
        <v>0</v>
      </c>
      <c r="H24" s="2">
        <v>1</v>
      </c>
      <c r="I24" s="2">
        <v>0</v>
      </c>
      <c r="J24" s="2">
        <v>1</v>
      </c>
      <c r="K24" s="2">
        <v>0</v>
      </c>
      <c r="L24" s="2">
        <v>0</v>
      </c>
      <c r="M24" s="2">
        <v>5</v>
      </c>
      <c r="N24" s="2">
        <v>4</v>
      </c>
      <c r="O24" s="2">
        <v>4</v>
      </c>
      <c r="P24" s="2">
        <v>4</v>
      </c>
      <c r="Q24" s="2">
        <v>4</v>
      </c>
      <c r="R24" s="2">
        <v>3</v>
      </c>
      <c r="S24" s="2">
        <v>4</v>
      </c>
      <c r="T24" s="2">
        <v>4</v>
      </c>
      <c r="U24" s="2">
        <v>2</v>
      </c>
      <c r="V24" s="2">
        <v>3</v>
      </c>
      <c r="W24" s="2">
        <v>4</v>
      </c>
      <c r="X24" s="2">
        <v>4</v>
      </c>
      <c r="Y24" s="2">
        <v>1</v>
      </c>
      <c r="Z24" s="2">
        <v>2</v>
      </c>
      <c r="AA24" s="2">
        <v>4</v>
      </c>
      <c r="AB24" s="2">
        <v>3</v>
      </c>
      <c r="AC24" s="2">
        <v>4</v>
      </c>
      <c r="AD24" s="2">
        <v>4</v>
      </c>
      <c r="AE24" s="2">
        <v>3</v>
      </c>
      <c r="AF24" s="2">
        <v>4</v>
      </c>
      <c r="AG24" s="2">
        <v>4</v>
      </c>
      <c r="AH24" s="4">
        <f t="shared" si="1"/>
        <v>2.5</v>
      </c>
      <c r="AI24" s="4">
        <f t="shared" si="2"/>
        <v>3</v>
      </c>
      <c r="AJ24" s="4">
        <f t="shared" si="3"/>
        <v>4</v>
      </c>
      <c r="AK24" s="4">
        <f t="shared" si="4"/>
        <v>4.33333333333333</v>
      </c>
      <c r="AL24">
        <f t="shared" si="5"/>
        <v>3.4</v>
      </c>
      <c r="AM24">
        <f t="shared" si="8"/>
        <v>4.25</v>
      </c>
      <c r="AN2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3.5</v>
      </c>
      <c r="AO24">
        <f t="shared" si="6"/>
        <v>4</v>
      </c>
      <c r="AP24">
        <f>Form_Responses[[#This Row],[Emotional_Burden_Raw]]-(0.5*Form_Responses[[#This Row],[Protective_factor]])</f>
        <v>1.5</v>
      </c>
      <c r="AQ2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2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Row],[Treatment_Score]]+(0.032997*E24))</f>
        <v>3.40426946428571</v>
      </c>
      <c r="AS24" t="str">
        <f>IF(Form_Responses[[#This Row],[PCA_distress_index]]&lt;1.5,"Low",IF(Form_Responses[[#This Row],[PCA_distress_index]]&lt;2.7,"Moderate","High"))</f>
        <v>High</v>
      </c>
    </row>
    <row r="25" ht="22.5" customHeight="1" spans="1:45">
      <c r="A25" s="2" t="s">
        <v>45</v>
      </c>
      <c r="B25" s="2">
        <v>45</v>
      </c>
      <c r="C25" s="2">
        <v>0</v>
      </c>
      <c r="D25" s="2" t="s">
        <v>49</v>
      </c>
      <c r="E25" s="4">
        <f t="shared" si="0"/>
        <v>1</v>
      </c>
      <c r="F25" s="2">
        <v>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3</v>
      </c>
      <c r="N25" s="2">
        <v>4</v>
      </c>
      <c r="O25" s="2">
        <v>3</v>
      </c>
      <c r="P25" s="2">
        <v>2</v>
      </c>
      <c r="Q25" s="2">
        <v>2</v>
      </c>
      <c r="R25" s="2">
        <v>1</v>
      </c>
      <c r="S25" s="2">
        <v>3</v>
      </c>
      <c r="T25" s="2">
        <v>3</v>
      </c>
      <c r="U25" s="2">
        <v>3</v>
      </c>
      <c r="V25" s="2">
        <v>3</v>
      </c>
      <c r="W25" s="2">
        <v>3</v>
      </c>
      <c r="X25" s="2">
        <v>2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3</v>
      </c>
      <c r="AF25" s="2">
        <v>4</v>
      </c>
      <c r="AG25" s="2">
        <v>3</v>
      </c>
      <c r="AH25" s="4">
        <f t="shared" si="1"/>
        <v>2.5</v>
      </c>
      <c r="AI25" s="4">
        <f t="shared" si="2"/>
        <v>3</v>
      </c>
      <c r="AJ25" s="4">
        <f t="shared" si="3"/>
        <v>2.66666666666667</v>
      </c>
      <c r="AK25" s="4">
        <f t="shared" si="4"/>
        <v>3</v>
      </c>
      <c r="AL25">
        <f t="shared" si="5"/>
        <v>1.3</v>
      </c>
      <c r="AM25">
        <f t="shared" si="8"/>
        <v>3.25</v>
      </c>
      <c r="AN2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2.5</v>
      </c>
      <c r="AO25">
        <f t="shared" si="6"/>
        <v>3.5</v>
      </c>
      <c r="AP25">
        <f>Form_Responses[[#This Row],[Emotional_Burden_Raw]]-(0.5*Form_Responses[[#This Row],[Protective_factor]])</f>
        <v>0.75</v>
      </c>
      <c r="AQ2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2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Row],[Treatment_Score]]+(0.032997*E25))</f>
        <v>2.66034996428571</v>
      </c>
      <c r="AS25" t="str">
        <f>IF(Form_Responses[[#This Row],[PCA_distress_index]]&lt;1.5,"Low",IF(Form_Responses[[#This Row],[PCA_distress_index]]&lt;2.7,"Moderate","High"))</f>
        <v>Moderate</v>
      </c>
    </row>
    <row r="26" ht="22.5" customHeight="1" spans="1:45">
      <c r="A26" s="2" t="s">
        <v>45</v>
      </c>
      <c r="B26" s="2">
        <v>55</v>
      </c>
      <c r="C26" s="2">
        <v>0</v>
      </c>
      <c r="D26" s="2" t="s">
        <v>56</v>
      </c>
      <c r="E26" s="4">
        <f t="shared" si="0"/>
        <v>1</v>
      </c>
      <c r="F26" s="2">
        <v>1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4</v>
      </c>
      <c r="N26" s="2">
        <v>4</v>
      </c>
      <c r="O26" s="2">
        <v>4</v>
      </c>
      <c r="P26" s="2">
        <v>3</v>
      </c>
      <c r="Q26" s="2">
        <v>4</v>
      </c>
      <c r="R26" s="2">
        <v>3</v>
      </c>
      <c r="S26" s="2">
        <v>3</v>
      </c>
      <c r="T26" s="2">
        <v>3</v>
      </c>
      <c r="U26" s="2">
        <v>3</v>
      </c>
      <c r="V26" s="2">
        <v>4</v>
      </c>
      <c r="W26" s="2">
        <v>4</v>
      </c>
      <c r="X26" s="2">
        <v>4</v>
      </c>
      <c r="Y26" s="2">
        <v>3</v>
      </c>
      <c r="Z26" s="2">
        <v>3</v>
      </c>
      <c r="AA26" s="2">
        <v>3</v>
      </c>
      <c r="AB26" s="2">
        <v>3</v>
      </c>
      <c r="AC26" s="2">
        <v>3</v>
      </c>
      <c r="AD26" s="2">
        <v>3</v>
      </c>
      <c r="AE26" s="2">
        <v>4</v>
      </c>
      <c r="AF26" s="2">
        <v>3</v>
      </c>
      <c r="AG26" s="2">
        <v>3</v>
      </c>
      <c r="AH26" s="4">
        <f t="shared" si="1"/>
        <v>3</v>
      </c>
      <c r="AI26" s="4">
        <f t="shared" si="2"/>
        <v>3.33333333333333</v>
      </c>
      <c r="AJ26" s="4">
        <f t="shared" si="3"/>
        <v>3.66666666666667</v>
      </c>
      <c r="AK26" s="4">
        <f t="shared" si="4"/>
        <v>3.66666666666667</v>
      </c>
      <c r="AL26">
        <f t="shared" si="5"/>
        <v>1.3</v>
      </c>
      <c r="AM26">
        <f t="shared" si="8"/>
        <v>3.75</v>
      </c>
      <c r="AN2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3.33333333333333</v>
      </c>
      <c r="AO26">
        <f t="shared" si="6"/>
        <v>3</v>
      </c>
      <c r="AP26">
        <f>Form_Responses[[#This Row],[Emotional_Burden_Raw]]-(0.5*Form_Responses[[#This Row],[Protective_factor]])</f>
        <v>1.83333333333333</v>
      </c>
      <c r="AQ2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3.42857142857143</v>
      </c>
      <c r="AR2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Row],[Treatment_Score]]+(0.032997*E26))</f>
        <v>3.21037927380952</v>
      </c>
      <c r="AS26" t="str">
        <f>IF(Form_Responses[[#This Row],[PCA_distress_index]]&lt;1.5,"Low",IF(Form_Responses[[#This Row],[PCA_distress_index]]&lt;2.7,"Moderate","High"))</f>
        <v>High</v>
      </c>
    </row>
    <row r="27" ht="22.5" customHeight="1" spans="1:45">
      <c r="A27" s="2" t="s">
        <v>45</v>
      </c>
      <c r="B27" s="2">
        <v>35</v>
      </c>
      <c r="C27" s="2">
        <v>0</v>
      </c>
      <c r="D27" s="2" t="s">
        <v>57</v>
      </c>
      <c r="E27" s="4">
        <f t="shared" si="0"/>
        <v>1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5</v>
      </c>
      <c r="N27" s="2">
        <v>4</v>
      </c>
      <c r="O27" s="2">
        <v>5</v>
      </c>
      <c r="P27" s="2">
        <v>5</v>
      </c>
      <c r="Q27" s="2">
        <v>3</v>
      </c>
      <c r="R27" s="2">
        <v>3</v>
      </c>
      <c r="S27" s="2">
        <v>3</v>
      </c>
      <c r="T27" s="2">
        <v>3</v>
      </c>
      <c r="U27" s="2">
        <v>3</v>
      </c>
      <c r="V27" s="2">
        <v>4</v>
      </c>
      <c r="W27" s="2">
        <v>3</v>
      </c>
      <c r="X27" s="2">
        <v>3</v>
      </c>
      <c r="Y27" s="2">
        <v>3</v>
      </c>
      <c r="Z27" s="2">
        <v>3</v>
      </c>
      <c r="AA27" s="2">
        <v>4</v>
      </c>
      <c r="AB27" s="2">
        <v>3</v>
      </c>
      <c r="AC27" s="2">
        <v>3</v>
      </c>
      <c r="AD27" s="2">
        <v>3</v>
      </c>
      <c r="AE27" s="2">
        <v>3</v>
      </c>
      <c r="AF27" s="2">
        <v>5</v>
      </c>
      <c r="AG27" s="2">
        <v>5</v>
      </c>
      <c r="AH27" s="4">
        <f t="shared" si="1"/>
        <v>4</v>
      </c>
      <c r="AI27" s="4">
        <f t="shared" si="2"/>
        <v>3.66666666666667</v>
      </c>
      <c r="AJ27" s="4">
        <f t="shared" si="3"/>
        <v>3</v>
      </c>
      <c r="AK27" s="4">
        <f t="shared" si="4"/>
        <v>4.33333333333333</v>
      </c>
      <c r="AL27">
        <f t="shared" si="5"/>
        <v>0.5</v>
      </c>
      <c r="AM27">
        <f t="shared" si="8"/>
        <v>4.25</v>
      </c>
      <c r="AN2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27">
        <f t="shared" si="6"/>
        <v>5</v>
      </c>
      <c r="AP27">
        <f>Form_Responses[[#This Row],[Emotional_Burden_Raw]]-(0.5*Form_Responses[[#This Row],[Protective_factor]])</f>
        <v>0.5</v>
      </c>
      <c r="AQ2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2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Row],[Treatment_Score]]+(0.032997*E27))</f>
        <v>3.13546982142857</v>
      </c>
      <c r="AS27" t="str">
        <f>IF(Form_Responses[[#This Row],[PCA_distress_index]]&lt;1.5,"Low",IF(Form_Responses[[#This Row],[PCA_distress_index]]&lt;2.7,"Moderate","High"))</f>
        <v>High</v>
      </c>
    </row>
    <row r="28" ht="22.5" customHeight="1" spans="1:45">
      <c r="A28" s="2" t="s">
        <v>45</v>
      </c>
      <c r="B28" s="2">
        <v>25</v>
      </c>
      <c r="C28" s="2">
        <v>0</v>
      </c>
      <c r="D28" s="2" t="s">
        <v>49</v>
      </c>
      <c r="E28" s="4">
        <f t="shared" si="0"/>
        <v>1</v>
      </c>
      <c r="F28" s="2">
        <v>0</v>
      </c>
      <c r="G28" s="2">
        <v>0</v>
      </c>
      <c r="H28" s="2">
        <v>1</v>
      </c>
      <c r="I28" s="2">
        <v>0</v>
      </c>
      <c r="J28" s="2">
        <v>1</v>
      </c>
      <c r="K28" s="2">
        <v>0</v>
      </c>
      <c r="L28" s="2">
        <v>0</v>
      </c>
      <c r="M28" s="2">
        <v>3</v>
      </c>
      <c r="N28" s="2">
        <v>3</v>
      </c>
      <c r="O28" s="2">
        <v>4</v>
      </c>
      <c r="P28" s="2">
        <v>5</v>
      </c>
      <c r="Q28" s="2">
        <v>4</v>
      </c>
      <c r="R28" s="2">
        <v>2</v>
      </c>
      <c r="S28" s="2">
        <v>4</v>
      </c>
      <c r="T28" s="2">
        <v>5</v>
      </c>
      <c r="U28" s="2">
        <v>4</v>
      </c>
      <c r="V28" s="2">
        <v>5</v>
      </c>
      <c r="W28" s="2">
        <v>3</v>
      </c>
      <c r="X28" s="2">
        <v>3</v>
      </c>
      <c r="Y28" s="2">
        <v>2</v>
      </c>
      <c r="Z28" s="2">
        <v>2</v>
      </c>
      <c r="AA28" s="2">
        <v>3</v>
      </c>
      <c r="AB28" s="2">
        <v>3</v>
      </c>
      <c r="AC28" s="2">
        <v>4</v>
      </c>
      <c r="AD28" s="2">
        <v>4</v>
      </c>
      <c r="AE28" s="2">
        <v>4</v>
      </c>
      <c r="AF28" s="2">
        <v>5</v>
      </c>
      <c r="AG28" s="2">
        <v>5</v>
      </c>
      <c r="AH28" s="4">
        <f t="shared" si="1"/>
        <v>3.5</v>
      </c>
      <c r="AI28" s="4">
        <f t="shared" si="2"/>
        <v>4</v>
      </c>
      <c r="AJ28" s="4">
        <f t="shared" si="3"/>
        <v>4</v>
      </c>
      <c r="AK28" s="4">
        <f t="shared" si="4"/>
        <v>3.66666666666667</v>
      </c>
      <c r="AL28">
        <f t="shared" si="5"/>
        <v>2.1</v>
      </c>
      <c r="AM28">
        <f t="shared" si="8"/>
        <v>3.5</v>
      </c>
      <c r="AN2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3.66666666666667</v>
      </c>
      <c r="AO28">
        <f t="shared" si="6"/>
        <v>5</v>
      </c>
      <c r="AP28">
        <f>Form_Responses[[#This Row],[Emotional_Burden_Raw]]-(0.5*Form_Responses[[#This Row],[Protective_factor]])</f>
        <v>1.16666666666667</v>
      </c>
      <c r="AQ2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2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Row],[Treatment_Score]]+(0.032997*E28))</f>
        <v>3.21399361904762</v>
      </c>
      <c r="AS28" t="str">
        <f>IF(Form_Responses[[#This Row],[PCA_distress_index]]&lt;1.5,"Low",IF(Form_Responses[[#This Row],[PCA_distress_index]]&lt;2.7,"Moderate","High"))</f>
        <v>High</v>
      </c>
    </row>
    <row r="29" ht="22.5" customHeight="1" spans="1:45">
      <c r="A29" s="2" t="s">
        <v>45</v>
      </c>
      <c r="B29" s="2">
        <v>25</v>
      </c>
      <c r="C29" s="2">
        <v>1</v>
      </c>
      <c r="D29" s="2" t="s">
        <v>58</v>
      </c>
      <c r="E29" s="4">
        <f t="shared" si="0"/>
        <v>1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4</v>
      </c>
      <c r="N29" s="2">
        <v>4</v>
      </c>
      <c r="O29" s="2">
        <v>3</v>
      </c>
      <c r="P29" s="2">
        <v>3</v>
      </c>
      <c r="Q29" s="2">
        <v>5</v>
      </c>
      <c r="R29" s="2">
        <v>4</v>
      </c>
      <c r="S29" s="2">
        <v>3</v>
      </c>
      <c r="T29" s="2">
        <v>4</v>
      </c>
      <c r="U29" s="2">
        <v>5</v>
      </c>
      <c r="V29" s="2">
        <v>5</v>
      </c>
      <c r="W29" s="2">
        <v>5</v>
      </c>
      <c r="X29" s="2">
        <v>3</v>
      </c>
      <c r="Y29" s="2">
        <v>1</v>
      </c>
      <c r="Z29" s="2">
        <v>4</v>
      </c>
      <c r="AA29" s="2">
        <v>4</v>
      </c>
      <c r="AB29" s="2">
        <v>4</v>
      </c>
      <c r="AC29" s="2">
        <v>3</v>
      </c>
      <c r="AD29" s="2">
        <v>3</v>
      </c>
      <c r="AE29" s="2">
        <v>3</v>
      </c>
      <c r="AF29" s="2">
        <v>2</v>
      </c>
      <c r="AG29" s="2">
        <v>3</v>
      </c>
      <c r="AH29" s="4">
        <f t="shared" si="1"/>
        <v>2</v>
      </c>
      <c r="AI29" s="4">
        <f t="shared" si="2"/>
        <v>4.66666666666667</v>
      </c>
      <c r="AJ29" s="4">
        <f t="shared" si="3"/>
        <v>4.66666666666667</v>
      </c>
      <c r="AK29" s="4">
        <f t="shared" si="4"/>
        <v>3.33333333333333</v>
      </c>
      <c r="AL29">
        <f t="shared" si="5"/>
        <v>0</v>
      </c>
      <c r="AM29">
        <f t="shared" si="8"/>
        <v>3.5</v>
      </c>
      <c r="AN2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3.83333333333333</v>
      </c>
      <c r="AO29">
        <f t="shared" si="6"/>
        <v>2.5</v>
      </c>
      <c r="AP29">
        <f>Form_Responses[[#This Row],[Emotional_Burden_Raw]]-(0.5*Form_Responses[[#This Row],[Protective_factor]])</f>
        <v>2.58333333333333</v>
      </c>
      <c r="AQ2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3.85714285714286</v>
      </c>
      <c r="AR2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Row],[Treatment_Score]]+(0.032997*E29))</f>
        <v>3.29460788095238</v>
      </c>
      <c r="AS29" t="str">
        <f>IF(Form_Responses[[#This Row],[PCA_distress_index]]&lt;1.5,"Low",IF(Form_Responses[[#This Row],[PCA_distress_index]]&lt;2.7,"Moderate","High"))</f>
        <v>High</v>
      </c>
    </row>
    <row r="30" ht="22.5" customHeight="1" spans="1:45">
      <c r="A30" s="2" t="s">
        <v>45</v>
      </c>
      <c r="B30" s="2">
        <v>25</v>
      </c>
      <c r="C30" s="2">
        <v>1</v>
      </c>
      <c r="D30" s="2" t="s">
        <v>50</v>
      </c>
      <c r="E30" s="4">
        <f t="shared" si="0"/>
        <v>1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1</v>
      </c>
      <c r="M30" s="2">
        <v>4</v>
      </c>
      <c r="N30" s="2">
        <v>5</v>
      </c>
      <c r="O30" s="2">
        <v>4</v>
      </c>
      <c r="P30" s="2">
        <v>3</v>
      </c>
      <c r="Q30" s="2">
        <v>3</v>
      </c>
      <c r="R30" s="2">
        <v>3</v>
      </c>
      <c r="S30" s="2">
        <v>2</v>
      </c>
      <c r="T30" s="2">
        <v>3</v>
      </c>
      <c r="U30" s="2">
        <v>4</v>
      </c>
      <c r="V30" s="2">
        <v>4</v>
      </c>
      <c r="W30" s="2">
        <v>3</v>
      </c>
      <c r="X30" s="2">
        <v>3</v>
      </c>
      <c r="Y30" s="2">
        <v>3</v>
      </c>
      <c r="Z30" s="2">
        <v>1</v>
      </c>
      <c r="AA30" s="2">
        <v>2</v>
      </c>
      <c r="AB30" s="2">
        <v>3</v>
      </c>
      <c r="AC30" s="2">
        <v>2</v>
      </c>
      <c r="AD30" s="2">
        <v>2</v>
      </c>
      <c r="AE30" s="2">
        <v>3</v>
      </c>
      <c r="AF30" s="2">
        <v>4</v>
      </c>
      <c r="AG30" s="2">
        <v>4</v>
      </c>
      <c r="AH30" s="4">
        <f t="shared" si="1"/>
        <v>3</v>
      </c>
      <c r="AI30" s="4">
        <f t="shared" si="2"/>
        <v>3.33333333333333</v>
      </c>
      <c r="AJ30" s="4">
        <f t="shared" si="3"/>
        <v>3</v>
      </c>
      <c r="AK30" s="4">
        <f t="shared" si="4"/>
        <v>3.33333333333333</v>
      </c>
      <c r="AL30">
        <f t="shared" si="5"/>
        <v>1.3</v>
      </c>
      <c r="AM30">
        <f t="shared" si="8"/>
        <v>3.75</v>
      </c>
      <c r="AN3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30">
        <f t="shared" si="6"/>
        <v>4</v>
      </c>
      <c r="AP30">
        <f>Form_Responses[[#This Row],[Emotional_Burden_Raw]]-(0.5*Form_Responses[[#This Row],[Protective_factor]])</f>
        <v>0.833333333333333</v>
      </c>
      <c r="AQ3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3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Row],[Treatment_Score]]+(0.032997*E30))</f>
        <v>2.88817213095238</v>
      </c>
      <c r="AS30" t="str">
        <f>IF(Form_Responses[[#This Row],[PCA_distress_index]]&lt;1.5,"Low",IF(Form_Responses[[#This Row],[PCA_distress_index]]&lt;2.7,"Moderate","High"))</f>
        <v>High</v>
      </c>
    </row>
    <row r="31" ht="22.5" customHeight="1" spans="1:45">
      <c r="A31" s="2" t="s">
        <v>45</v>
      </c>
      <c r="B31" s="2">
        <v>45</v>
      </c>
      <c r="C31" s="2">
        <v>1</v>
      </c>
      <c r="D31" s="2" t="s">
        <v>46</v>
      </c>
      <c r="E31" s="4">
        <f t="shared" si="0"/>
        <v>3</v>
      </c>
      <c r="F31" s="2">
        <v>1</v>
      </c>
      <c r="G31" s="2">
        <v>0</v>
      </c>
      <c r="H31" s="2">
        <v>0</v>
      </c>
      <c r="I31" s="2">
        <v>0</v>
      </c>
      <c r="J31" s="2">
        <v>1</v>
      </c>
      <c r="K31" s="2">
        <v>0</v>
      </c>
      <c r="L31" s="2">
        <v>1</v>
      </c>
      <c r="M31" s="2">
        <v>2</v>
      </c>
      <c r="N31" s="2">
        <v>2</v>
      </c>
      <c r="O31" s="2">
        <v>4</v>
      </c>
      <c r="P31" s="2">
        <v>3</v>
      </c>
      <c r="Q31" s="2">
        <v>3</v>
      </c>
      <c r="R31" s="2">
        <v>1</v>
      </c>
      <c r="S31" s="2">
        <v>2</v>
      </c>
      <c r="T31" s="2">
        <v>3</v>
      </c>
      <c r="U31" s="2">
        <v>3</v>
      </c>
      <c r="V31" s="2">
        <v>5</v>
      </c>
      <c r="W31" s="2">
        <v>3</v>
      </c>
      <c r="X31" s="2">
        <v>1</v>
      </c>
      <c r="Y31" s="2">
        <v>2</v>
      </c>
      <c r="Z31" s="2">
        <v>2</v>
      </c>
      <c r="AA31" s="2">
        <v>2</v>
      </c>
      <c r="AB31" s="2">
        <v>3</v>
      </c>
      <c r="AC31" s="2">
        <v>4</v>
      </c>
      <c r="AD31" s="2">
        <v>1</v>
      </c>
      <c r="AE31" s="2">
        <v>1</v>
      </c>
      <c r="AF31" s="2">
        <v>3</v>
      </c>
      <c r="AG31" s="2">
        <v>4</v>
      </c>
      <c r="AH31" s="4">
        <f t="shared" si="1"/>
        <v>2.5</v>
      </c>
      <c r="AI31" s="4">
        <f t="shared" si="2"/>
        <v>3.33333333333333</v>
      </c>
      <c r="AJ31" s="4">
        <f t="shared" si="3"/>
        <v>3</v>
      </c>
      <c r="AK31" s="4">
        <f t="shared" si="4"/>
        <v>2.33333333333333</v>
      </c>
      <c r="AL31">
        <f t="shared" si="5"/>
        <v>2.4</v>
      </c>
      <c r="AM31">
        <f t="shared" si="8"/>
        <v>2.25</v>
      </c>
      <c r="AN3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31">
        <f t="shared" si="6"/>
        <v>3.5</v>
      </c>
      <c r="AP31">
        <f>Form_Responses[[#This Row],[Emotional_Burden_Raw]]-(0.5*Form_Responses[[#This Row],[Protective_factor]])</f>
        <v>0.416666666666667</v>
      </c>
      <c r="AQ3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2.57142857142857</v>
      </c>
      <c r="AR3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Row],[Treatment_Score]]+(0.032997*E31))</f>
        <v>2.37134522619048</v>
      </c>
      <c r="AS31" t="str">
        <f>IF(Form_Responses[[#This Row],[PCA_distress_index]]&lt;1.5,"Low",IF(Form_Responses[[#This Row],[PCA_distress_index]]&lt;2.7,"Moderate","High"))</f>
        <v>Moderate</v>
      </c>
    </row>
    <row r="32" ht="22.5" customHeight="1" spans="1:45">
      <c r="A32" s="2" t="s">
        <v>45</v>
      </c>
      <c r="B32" s="2">
        <v>25</v>
      </c>
      <c r="C32" s="2">
        <v>0</v>
      </c>
      <c r="D32" s="2" t="s">
        <v>50</v>
      </c>
      <c r="E32" s="4">
        <f t="shared" si="0"/>
        <v>1</v>
      </c>
      <c r="F32" s="2">
        <v>1</v>
      </c>
      <c r="G32" s="2">
        <v>0</v>
      </c>
      <c r="H32" s="2">
        <v>1</v>
      </c>
      <c r="I32" s="2">
        <v>0</v>
      </c>
      <c r="J32" s="2">
        <v>1</v>
      </c>
      <c r="K32" s="2">
        <v>0</v>
      </c>
      <c r="L32" s="2">
        <v>1</v>
      </c>
      <c r="M32" s="2">
        <v>4</v>
      </c>
      <c r="N32" s="2">
        <v>3</v>
      </c>
      <c r="O32" s="2">
        <v>5</v>
      </c>
      <c r="P32" s="2">
        <v>2</v>
      </c>
      <c r="Q32" s="2">
        <v>2</v>
      </c>
      <c r="R32" s="2">
        <v>3</v>
      </c>
      <c r="S32" s="2">
        <v>4</v>
      </c>
      <c r="T32" s="2">
        <v>2</v>
      </c>
      <c r="U32" s="2">
        <v>4</v>
      </c>
      <c r="V32" s="2">
        <v>4</v>
      </c>
      <c r="W32" s="2">
        <v>3</v>
      </c>
      <c r="X32" s="2">
        <v>4</v>
      </c>
      <c r="Y32" s="2">
        <v>4</v>
      </c>
      <c r="Z32" s="2">
        <v>1</v>
      </c>
      <c r="AA32" s="2">
        <v>3</v>
      </c>
      <c r="AB32" s="2">
        <v>1</v>
      </c>
      <c r="AC32" s="2">
        <v>2</v>
      </c>
      <c r="AD32" s="2">
        <v>4</v>
      </c>
      <c r="AE32" s="2">
        <v>2</v>
      </c>
      <c r="AF32" s="2">
        <v>3</v>
      </c>
      <c r="AG32" s="2">
        <v>4</v>
      </c>
      <c r="AH32" s="4">
        <f t="shared" si="1"/>
        <v>3</v>
      </c>
      <c r="AI32" s="4">
        <f t="shared" si="2"/>
        <v>3.66666666666667</v>
      </c>
      <c r="AJ32" s="4">
        <f t="shared" si="3"/>
        <v>2.33333333333333</v>
      </c>
      <c r="AK32" s="4">
        <f t="shared" si="4"/>
        <v>4.33333333333333</v>
      </c>
      <c r="AL32">
        <f t="shared" si="5"/>
        <v>3.4</v>
      </c>
      <c r="AM32">
        <f t="shared" si="8"/>
        <v>4</v>
      </c>
      <c r="AN3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2.33333333333333</v>
      </c>
      <c r="AO32">
        <f t="shared" si="6"/>
        <v>3.5</v>
      </c>
      <c r="AP32">
        <f>Form_Responses[[#This Row],[Emotional_Burden_Raw]]-(0.5*Form_Responses[[#This Row],[Protective_factor]])</f>
        <v>0.583333333333333</v>
      </c>
      <c r="AQ3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3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Row],[Treatment_Score]]+(0.032997*E32))</f>
        <v>3.15944923809524</v>
      </c>
      <c r="AS32" t="str">
        <f>IF(Form_Responses[[#This Row],[PCA_distress_index]]&lt;1.5,"Low",IF(Form_Responses[[#This Row],[PCA_distress_index]]&lt;2.7,"Moderate","High"))</f>
        <v>High</v>
      </c>
    </row>
    <row r="33" ht="22.5" customHeight="1" spans="1:45">
      <c r="A33" s="2" t="s">
        <v>45</v>
      </c>
      <c r="B33" s="2">
        <v>25</v>
      </c>
      <c r="C33" s="2">
        <v>1</v>
      </c>
      <c r="D33" s="2" t="s">
        <v>49</v>
      </c>
      <c r="E33" s="4">
        <f t="shared" si="0"/>
        <v>1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5</v>
      </c>
      <c r="N33" s="2">
        <v>2</v>
      </c>
      <c r="O33" s="2">
        <v>4</v>
      </c>
      <c r="P33" s="2">
        <v>1</v>
      </c>
      <c r="Q33" s="2">
        <v>3</v>
      </c>
      <c r="R33" s="2">
        <v>2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2</v>
      </c>
      <c r="AA33" s="2">
        <v>4</v>
      </c>
      <c r="AB33" s="2">
        <v>1</v>
      </c>
      <c r="AC33" s="2">
        <v>1</v>
      </c>
      <c r="AD33" s="2">
        <v>1</v>
      </c>
      <c r="AE33" s="2">
        <v>1</v>
      </c>
      <c r="AF33" s="2">
        <v>4</v>
      </c>
      <c r="AG33" s="2">
        <v>1</v>
      </c>
      <c r="AH33" s="4">
        <f t="shared" si="1"/>
        <v>1</v>
      </c>
      <c r="AI33" s="4">
        <f t="shared" si="2"/>
        <v>2</v>
      </c>
      <c r="AJ33" s="4">
        <f t="shared" si="3"/>
        <v>1.66666666666667</v>
      </c>
      <c r="AK33" s="4">
        <f t="shared" si="4"/>
        <v>3.33333333333333</v>
      </c>
      <c r="AL33">
        <f t="shared" si="5"/>
        <v>0</v>
      </c>
      <c r="AM33">
        <f t="shared" si="8"/>
        <v>3</v>
      </c>
      <c r="AN3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1.5</v>
      </c>
      <c r="AO33">
        <f t="shared" si="6"/>
        <v>2.5</v>
      </c>
      <c r="AP33">
        <f>Form_Responses[[#This Row],[Emotional_Burden_Raw]]-(0.5*Form_Responses[[#This Row],[Protective_factor]])</f>
        <v>0.25</v>
      </c>
      <c r="AQ3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1.57142857142857</v>
      </c>
      <c r="AR3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Row],[Treatment_Score]]+(0.032997*E33))</f>
        <v>1.77795714285714</v>
      </c>
      <c r="AS33" t="str">
        <f>IF(Form_Responses[[#This Row],[PCA_distress_index]]&lt;1.5,"Low",IF(Form_Responses[[#This Row],[PCA_distress_index]]&lt;2.7,"Moderate","High"))</f>
        <v>Moderate</v>
      </c>
    </row>
    <row r="34" ht="22.5" customHeight="1" spans="1:45">
      <c r="A34" s="2" t="s">
        <v>45</v>
      </c>
      <c r="B34" s="2">
        <v>45</v>
      </c>
      <c r="C34" s="2">
        <v>0</v>
      </c>
      <c r="D34" s="2" t="s">
        <v>53</v>
      </c>
      <c r="E34" s="4">
        <f t="shared" ref="E34:E65" si="9">IF(OR(D34="Blood_Cancer",D34="Leukemia",D34="Lymphoma",D34="Brain_Cancer",D34="Pancreatic_Cancer"),5,IF(OR(D34="Lung_Cancer",D34="Liver_ Cancer",D34="Stomach_Cancer",D34="Ovarian_Cancer"),4,IF(OR(D34="Cervical_Cancer",D34="Colorectal_Cancer",D34="Head_and_Neck Cancer"),3,IF(OR(D34="Breast_ Cancer",D34="Prostate_Cancer"),2,1))))</f>
        <v>5</v>
      </c>
      <c r="F34" s="2">
        <v>1</v>
      </c>
      <c r="G34" s="2">
        <v>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5</v>
      </c>
      <c r="N34" s="2">
        <v>5</v>
      </c>
      <c r="O34" s="2">
        <v>5</v>
      </c>
      <c r="P34" s="2">
        <v>4</v>
      </c>
      <c r="Q34" s="2">
        <v>5</v>
      </c>
      <c r="R34" s="2">
        <v>1</v>
      </c>
      <c r="S34" s="2">
        <v>5</v>
      </c>
      <c r="T34" s="2">
        <v>5</v>
      </c>
      <c r="U34" s="2">
        <v>4</v>
      </c>
      <c r="V34" s="2">
        <v>5</v>
      </c>
      <c r="W34" s="2">
        <v>5</v>
      </c>
      <c r="X34" s="2">
        <v>1</v>
      </c>
      <c r="Y34" s="2">
        <v>3</v>
      </c>
      <c r="Z34" s="2">
        <v>4</v>
      </c>
      <c r="AA34" s="2">
        <v>5</v>
      </c>
      <c r="AB34" s="2">
        <v>3</v>
      </c>
      <c r="AC34" s="2">
        <v>3</v>
      </c>
      <c r="AD34" s="2">
        <v>3</v>
      </c>
      <c r="AE34" s="2">
        <v>5</v>
      </c>
      <c r="AF34" s="2">
        <v>5</v>
      </c>
      <c r="AG34" s="2">
        <v>5</v>
      </c>
      <c r="AH34" s="4">
        <f t="shared" ref="AH34:AH65" si="10">AVERAGE(Y34,P34)</f>
        <v>3.5</v>
      </c>
      <c r="AI34" s="4">
        <f t="shared" ref="AI34:AI65" si="11">AVERAGE(U34,V34,AA34)</f>
        <v>4.66666666666667</v>
      </c>
      <c r="AJ34" s="4">
        <f t="shared" ref="AJ34:AJ65" si="12">AVERAGE(T34,Q34,W34)</f>
        <v>5</v>
      </c>
      <c r="AK34" s="4">
        <f t="shared" ref="AK34:AK65" si="13">AVERAGE(M34,O34,AD34)</f>
        <v>4.33333333333333</v>
      </c>
      <c r="AL34">
        <f t="shared" si="5"/>
        <v>2</v>
      </c>
      <c r="AM34">
        <f t="shared" si="8"/>
        <v>4.5</v>
      </c>
      <c r="AN3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</v>
      </c>
      <c r="AO34">
        <f t="shared" si="6"/>
        <v>5</v>
      </c>
      <c r="AP34">
        <f>Form_Responses[[#This Row],[Emotional_Burden_Raw]]-(0.5*Form_Responses[[#This Row],[Protective_factor]])</f>
        <v>1.5</v>
      </c>
      <c r="AQ3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3.85714285714286</v>
      </c>
      <c r="AR3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Row],[Treatment_Score]]+(0.032997*E34))</f>
        <v>3.93529221428571</v>
      </c>
      <c r="AS34" t="str">
        <f>IF(Form_Responses[[#This Row],[PCA_distress_index]]&lt;1.5,"Low",IF(Form_Responses[[#This Row],[PCA_distress_index]]&lt;2.7,"Moderate","High"))</f>
        <v>High</v>
      </c>
    </row>
    <row r="35" ht="22.5" customHeight="1" spans="1:45">
      <c r="A35" s="2" t="s">
        <v>45</v>
      </c>
      <c r="B35" s="2">
        <v>25</v>
      </c>
      <c r="C35" s="2">
        <v>0</v>
      </c>
      <c r="D35" s="2" t="s">
        <v>52</v>
      </c>
      <c r="E35" s="4">
        <f t="shared" si="9"/>
        <v>4</v>
      </c>
      <c r="F35" s="2">
        <v>1</v>
      </c>
      <c r="G35" s="2">
        <v>0</v>
      </c>
      <c r="H35" s="2">
        <v>0</v>
      </c>
      <c r="I35" s="2">
        <v>0</v>
      </c>
      <c r="J35" s="2">
        <v>1</v>
      </c>
      <c r="K35" s="2">
        <v>0</v>
      </c>
      <c r="L35" s="2">
        <v>1</v>
      </c>
      <c r="M35" s="2">
        <v>3</v>
      </c>
      <c r="N35" s="2">
        <v>3</v>
      </c>
      <c r="O35" s="2">
        <v>1</v>
      </c>
      <c r="P35" s="2">
        <v>2</v>
      </c>
      <c r="Q35" s="2">
        <v>3</v>
      </c>
      <c r="R35" s="2">
        <v>4</v>
      </c>
      <c r="S35" s="2">
        <v>2</v>
      </c>
      <c r="T35" s="2">
        <v>1</v>
      </c>
      <c r="U35" s="2">
        <v>2</v>
      </c>
      <c r="V35" s="2">
        <v>2</v>
      </c>
      <c r="W35" s="2">
        <v>3</v>
      </c>
      <c r="X35" s="2">
        <v>3</v>
      </c>
      <c r="Y35" s="2">
        <v>3</v>
      </c>
      <c r="Z35" s="2">
        <v>3</v>
      </c>
      <c r="AA35" s="2">
        <v>3</v>
      </c>
      <c r="AB35" s="2">
        <v>3</v>
      </c>
      <c r="AC35" s="2">
        <v>3</v>
      </c>
      <c r="AD35" s="2">
        <v>3</v>
      </c>
      <c r="AE35" s="2">
        <v>3</v>
      </c>
      <c r="AF35" s="2">
        <v>3</v>
      </c>
      <c r="AG35" s="2">
        <v>3</v>
      </c>
      <c r="AH35" s="4">
        <f t="shared" si="10"/>
        <v>2.5</v>
      </c>
      <c r="AI35" s="4">
        <f t="shared" si="11"/>
        <v>2.33333333333333</v>
      </c>
      <c r="AJ35" s="4">
        <f t="shared" si="12"/>
        <v>2.33333333333333</v>
      </c>
      <c r="AK35" s="4">
        <f t="shared" si="13"/>
        <v>2.33333333333333</v>
      </c>
      <c r="AL35">
        <f t="shared" si="5"/>
        <v>2.4</v>
      </c>
      <c r="AM35">
        <f t="shared" si="8"/>
        <v>2.5</v>
      </c>
      <c r="AN3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35">
        <f t="shared" si="6"/>
        <v>3</v>
      </c>
      <c r="AP35">
        <f>Form_Responses[[#This Row],[Emotional_Burden_Raw]]-(0.5*Form_Responses[[#This Row],[Protective_factor]])</f>
        <v>1.16666666666667</v>
      </c>
      <c r="AQ3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2.71428571428571</v>
      </c>
      <c r="AR3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Row],[Treatment_Score]]+(0.032997*E35))</f>
        <v>2.65525426190476</v>
      </c>
      <c r="AS35" t="str">
        <f>IF(Form_Responses[[#This Row],[PCA_distress_index]]&lt;1.5,"Low",IF(Form_Responses[[#This Row],[PCA_distress_index]]&lt;2.7,"Moderate","High"))</f>
        <v>Moderate</v>
      </c>
    </row>
    <row r="36" ht="22.5" customHeight="1" spans="1:45">
      <c r="A36" s="2" t="s">
        <v>45</v>
      </c>
      <c r="B36" s="2">
        <v>45</v>
      </c>
      <c r="C36" s="2">
        <v>1</v>
      </c>
      <c r="D36" s="2" t="s">
        <v>47</v>
      </c>
      <c r="E36" s="4">
        <f t="shared" si="9"/>
        <v>4</v>
      </c>
      <c r="F36" s="2">
        <v>1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5</v>
      </c>
      <c r="N36" s="2">
        <v>5</v>
      </c>
      <c r="O36" s="2">
        <v>5</v>
      </c>
      <c r="P36" s="2">
        <v>5</v>
      </c>
      <c r="Q36" s="2">
        <v>5</v>
      </c>
      <c r="R36" s="2">
        <v>3</v>
      </c>
      <c r="S36" s="2">
        <v>1</v>
      </c>
      <c r="T36" s="2">
        <v>5</v>
      </c>
      <c r="U36" s="2">
        <v>5</v>
      </c>
      <c r="V36" s="2">
        <v>5</v>
      </c>
      <c r="W36" s="2">
        <v>3</v>
      </c>
      <c r="X36" s="2">
        <v>2</v>
      </c>
      <c r="Y36" s="2">
        <v>2</v>
      </c>
      <c r="Z36" s="2">
        <v>2</v>
      </c>
      <c r="AA36" s="2">
        <v>2</v>
      </c>
      <c r="AB36" s="2">
        <v>4</v>
      </c>
      <c r="AC36" s="2">
        <v>5</v>
      </c>
      <c r="AD36" s="2">
        <v>2</v>
      </c>
      <c r="AE36" s="2">
        <v>2</v>
      </c>
      <c r="AF36" s="2">
        <v>5</v>
      </c>
      <c r="AG36" s="2">
        <v>5</v>
      </c>
      <c r="AH36" s="4">
        <f t="shared" si="10"/>
        <v>3.5</v>
      </c>
      <c r="AI36" s="4">
        <f t="shared" si="11"/>
        <v>4</v>
      </c>
      <c r="AJ36" s="4">
        <f t="shared" si="12"/>
        <v>4.33333333333333</v>
      </c>
      <c r="AK36" s="4">
        <f t="shared" si="13"/>
        <v>4</v>
      </c>
      <c r="AL36">
        <f t="shared" si="5"/>
        <v>1.3</v>
      </c>
      <c r="AM36">
        <f t="shared" si="8"/>
        <v>4.25</v>
      </c>
      <c r="AN3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3.33333333333333</v>
      </c>
      <c r="AO36">
        <f t="shared" si="6"/>
        <v>5</v>
      </c>
      <c r="AP36">
        <f>Form_Responses[[#This Row],[Emotional_Burden_Raw]]-(0.5*Form_Responses[[#This Row],[Protective_factor]])</f>
        <v>0.833333333333333</v>
      </c>
      <c r="AQ3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3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Row],[Treatment_Score]]+(0.032997*E36))</f>
        <v>3.30682691666667</v>
      </c>
      <c r="AS36" t="str">
        <f>IF(Form_Responses[[#This Row],[PCA_distress_index]]&lt;1.5,"Low",IF(Form_Responses[[#This Row],[PCA_distress_index]]&lt;2.7,"Moderate","High"))</f>
        <v>High</v>
      </c>
    </row>
    <row r="37" ht="22.5" customHeight="1" spans="1:45">
      <c r="A37" s="2" t="s">
        <v>45</v>
      </c>
      <c r="B37" s="2">
        <v>25</v>
      </c>
      <c r="C37" s="2">
        <v>0</v>
      </c>
      <c r="D37" s="2" t="s">
        <v>47</v>
      </c>
      <c r="E37" s="4">
        <f t="shared" si="9"/>
        <v>4</v>
      </c>
      <c r="F37" s="2">
        <v>0</v>
      </c>
      <c r="G37" s="2">
        <v>0</v>
      </c>
      <c r="H37" s="2">
        <v>0</v>
      </c>
      <c r="I37" s="2">
        <v>1</v>
      </c>
      <c r="J37" s="2">
        <v>1</v>
      </c>
      <c r="K37" s="2">
        <v>0</v>
      </c>
      <c r="L37" s="2">
        <v>1</v>
      </c>
      <c r="M37" s="2">
        <v>3</v>
      </c>
      <c r="N37" s="2">
        <v>3</v>
      </c>
      <c r="O37" s="2">
        <v>1</v>
      </c>
      <c r="P37" s="2">
        <v>2</v>
      </c>
      <c r="Q37" s="2">
        <v>2</v>
      </c>
      <c r="R37" s="2">
        <v>2</v>
      </c>
      <c r="S37" s="2">
        <v>3</v>
      </c>
      <c r="T37" s="2">
        <v>3</v>
      </c>
      <c r="U37" s="2">
        <v>2</v>
      </c>
      <c r="V37" s="2">
        <v>3</v>
      </c>
      <c r="W37" s="2">
        <v>3</v>
      </c>
      <c r="X37" s="2">
        <v>2</v>
      </c>
      <c r="Y37" s="2">
        <v>2</v>
      </c>
      <c r="Z37" s="2">
        <v>3</v>
      </c>
      <c r="AA37" s="2">
        <v>3</v>
      </c>
      <c r="AB37" s="2">
        <v>4</v>
      </c>
      <c r="AC37" s="2">
        <v>5</v>
      </c>
      <c r="AD37" s="2">
        <v>2</v>
      </c>
      <c r="AE37" s="2">
        <v>3</v>
      </c>
      <c r="AF37" s="2">
        <v>3</v>
      </c>
      <c r="AG37" s="2">
        <v>1</v>
      </c>
      <c r="AH37" s="4">
        <f t="shared" si="10"/>
        <v>2</v>
      </c>
      <c r="AI37" s="4">
        <f t="shared" si="11"/>
        <v>2.66666666666667</v>
      </c>
      <c r="AJ37" s="4">
        <f t="shared" si="12"/>
        <v>2.66666666666667</v>
      </c>
      <c r="AK37" s="4">
        <f t="shared" si="13"/>
        <v>2</v>
      </c>
      <c r="AL37">
        <f t="shared" si="5"/>
        <v>2.3</v>
      </c>
      <c r="AM37">
        <f t="shared" si="8"/>
        <v>2.25</v>
      </c>
      <c r="AN3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37">
        <f t="shared" si="6"/>
        <v>2</v>
      </c>
      <c r="AP37">
        <f>Form_Responses[[#This Row],[Emotional_Burden_Raw]]-(0.5*Form_Responses[[#This Row],[Protective_factor]])</f>
        <v>1.83333333333333</v>
      </c>
      <c r="AQ3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2.57142857142857</v>
      </c>
      <c r="AR3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Row],[Treatment_Score]]+(0.032997*E37))</f>
        <v>2.57555305952381</v>
      </c>
      <c r="AS37" t="str">
        <f>IF(Form_Responses[[#This Row],[PCA_distress_index]]&lt;1.5,"Low",IF(Form_Responses[[#This Row],[PCA_distress_index]]&lt;2.7,"Moderate","High"))</f>
        <v>Moderate</v>
      </c>
    </row>
    <row r="38" ht="22.5" customHeight="1" spans="1:45">
      <c r="A38" s="2" t="s">
        <v>45</v>
      </c>
      <c r="B38" s="2">
        <v>25</v>
      </c>
      <c r="C38" s="2">
        <v>1</v>
      </c>
      <c r="D38" s="2" t="s">
        <v>50</v>
      </c>
      <c r="E38" s="4">
        <f t="shared" si="9"/>
        <v>1</v>
      </c>
      <c r="F38" s="2">
        <v>0</v>
      </c>
      <c r="G38" s="2">
        <v>0</v>
      </c>
      <c r="H38" s="2">
        <v>1</v>
      </c>
      <c r="I38" s="2">
        <v>0</v>
      </c>
      <c r="J38" s="2">
        <v>1</v>
      </c>
      <c r="K38" s="2">
        <v>0</v>
      </c>
      <c r="L38" s="2">
        <v>1</v>
      </c>
      <c r="M38" s="2">
        <v>2</v>
      </c>
      <c r="N38" s="2">
        <v>2</v>
      </c>
      <c r="O38" s="2">
        <v>2</v>
      </c>
      <c r="P38" s="2">
        <v>3</v>
      </c>
      <c r="Q38" s="2">
        <v>4</v>
      </c>
      <c r="R38" s="2">
        <v>2</v>
      </c>
      <c r="S38" s="2">
        <v>2</v>
      </c>
      <c r="T38" s="2">
        <v>3</v>
      </c>
      <c r="U38" s="2">
        <v>3</v>
      </c>
      <c r="V38" s="2">
        <v>3</v>
      </c>
      <c r="W38" s="2">
        <v>3</v>
      </c>
      <c r="X38" s="2">
        <v>3</v>
      </c>
      <c r="Y38" s="2">
        <v>2</v>
      </c>
      <c r="Z38" s="2">
        <v>2</v>
      </c>
      <c r="AA38" s="2">
        <v>1</v>
      </c>
      <c r="AB38" s="2">
        <v>4</v>
      </c>
      <c r="AC38" s="2">
        <v>3</v>
      </c>
      <c r="AD38" s="2">
        <v>4</v>
      </c>
      <c r="AE38" s="2">
        <v>4</v>
      </c>
      <c r="AF38" s="2">
        <v>5</v>
      </c>
      <c r="AG38" s="2">
        <v>2</v>
      </c>
      <c r="AH38" s="4">
        <f t="shared" si="10"/>
        <v>2.5</v>
      </c>
      <c r="AI38" s="4">
        <f t="shared" si="11"/>
        <v>2.33333333333333</v>
      </c>
      <c r="AJ38" s="4">
        <f t="shared" si="12"/>
        <v>3.33333333333333</v>
      </c>
      <c r="AK38" s="4">
        <f t="shared" si="13"/>
        <v>2.66666666666667</v>
      </c>
      <c r="AL38">
        <f t="shared" si="5"/>
        <v>2.1</v>
      </c>
      <c r="AM38">
        <f t="shared" ref="AM38:AM66" si="14">AVERAGE(M38,N38,O38,AD38)</f>
        <v>2.5</v>
      </c>
      <c r="AN3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38">
        <f t="shared" si="6"/>
        <v>3.5</v>
      </c>
      <c r="AP38">
        <f>Form_Responses[[#This Row],[Emotional_Burden_Raw]]-(0.5*Form_Responses[[#This Row],[Protective_factor]])</f>
        <v>1.41666666666667</v>
      </c>
      <c r="AQ3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3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Row],[Treatment_Score]]+(0.032997*E38))</f>
        <v>2.57009719047619</v>
      </c>
      <c r="AS38" t="str">
        <f>IF(Form_Responses[[#This Row],[PCA_distress_index]]&lt;1.5,"Low",IF(Form_Responses[[#This Row],[PCA_distress_index]]&lt;2.7,"Moderate","High"))</f>
        <v>Moderate</v>
      </c>
    </row>
    <row r="39" ht="22.5" customHeight="1" spans="1:45">
      <c r="A39" s="2" t="s">
        <v>45</v>
      </c>
      <c r="B39" s="2">
        <v>55</v>
      </c>
      <c r="C39" s="2">
        <v>0</v>
      </c>
      <c r="D39" s="2" t="s">
        <v>50</v>
      </c>
      <c r="E39" s="4">
        <f t="shared" si="9"/>
        <v>1</v>
      </c>
      <c r="F39" s="2">
        <v>1</v>
      </c>
      <c r="G39" s="2">
        <v>0</v>
      </c>
      <c r="H39" s="2">
        <v>1</v>
      </c>
      <c r="I39" s="2">
        <v>0</v>
      </c>
      <c r="J39" s="2">
        <v>1</v>
      </c>
      <c r="K39" s="2">
        <v>0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5</v>
      </c>
      <c r="Z39" s="2">
        <v>1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4">
        <f t="shared" si="10"/>
        <v>3</v>
      </c>
      <c r="AI39" s="4">
        <f t="shared" si="11"/>
        <v>1</v>
      </c>
      <c r="AJ39" s="4">
        <f t="shared" si="12"/>
        <v>1</v>
      </c>
      <c r="AK39" s="4">
        <f t="shared" si="13"/>
        <v>1</v>
      </c>
      <c r="AL39">
        <f t="shared" si="5"/>
        <v>3.4</v>
      </c>
      <c r="AM39">
        <f t="shared" si="14"/>
        <v>1</v>
      </c>
      <c r="AN3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</v>
      </c>
      <c r="AO39">
        <f t="shared" si="6"/>
        <v>1</v>
      </c>
      <c r="AP39">
        <f>Form_Responses[[#This Row],[Emotional_Burden_Raw]]-(0.5*Form_Responses[[#This Row],[Protective_factor]])</f>
        <v>0.5</v>
      </c>
      <c r="AQ3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1.57142857142857</v>
      </c>
      <c r="AR3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Row],[Treatment_Score]]+(0.032997*E39))</f>
        <v>1.41296614285714</v>
      </c>
      <c r="AS39" t="str">
        <f>IF(Form_Responses[[#This Row],[PCA_distress_index]]&lt;1.5,"Low",IF(Form_Responses[[#This Row],[PCA_distress_index]]&lt;2.7,"Moderate","High"))</f>
        <v>Low</v>
      </c>
    </row>
    <row r="40" ht="22.5" customHeight="1" spans="1:45">
      <c r="A40" s="2" t="s">
        <v>45</v>
      </c>
      <c r="B40" s="2">
        <v>25</v>
      </c>
      <c r="C40" s="2">
        <v>1</v>
      </c>
      <c r="D40" s="2" t="s">
        <v>50</v>
      </c>
      <c r="E40" s="4">
        <f t="shared" si="9"/>
        <v>1</v>
      </c>
      <c r="F40" s="2">
        <v>1</v>
      </c>
      <c r="G40" s="2">
        <v>0</v>
      </c>
      <c r="H40" s="2">
        <v>1</v>
      </c>
      <c r="I40" s="2">
        <v>0</v>
      </c>
      <c r="J40" s="2">
        <v>0</v>
      </c>
      <c r="K40" s="2">
        <v>0</v>
      </c>
      <c r="L40" s="2">
        <v>1</v>
      </c>
      <c r="M40" s="2">
        <v>2</v>
      </c>
      <c r="N40" s="2">
        <v>2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5</v>
      </c>
      <c r="U40" s="2">
        <v>1</v>
      </c>
      <c r="V40" s="2">
        <v>2</v>
      </c>
      <c r="W40" s="2">
        <v>1</v>
      </c>
      <c r="X40" s="2">
        <v>1</v>
      </c>
      <c r="Y40" s="2">
        <v>5</v>
      </c>
      <c r="Z40" s="2">
        <v>1</v>
      </c>
      <c r="AA40" s="2">
        <v>2</v>
      </c>
      <c r="AB40" s="2">
        <v>1</v>
      </c>
      <c r="AC40" s="2">
        <v>1</v>
      </c>
      <c r="AD40" s="2">
        <v>1</v>
      </c>
      <c r="AE40" s="2">
        <v>1</v>
      </c>
      <c r="AF40" s="2">
        <v>3</v>
      </c>
      <c r="AG40" s="2">
        <v>3</v>
      </c>
      <c r="AH40" s="4">
        <f t="shared" si="10"/>
        <v>3</v>
      </c>
      <c r="AI40" s="4">
        <f t="shared" si="11"/>
        <v>1.66666666666667</v>
      </c>
      <c r="AJ40" s="4">
        <f t="shared" si="12"/>
        <v>2.33333333333333</v>
      </c>
      <c r="AK40" s="4">
        <f t="shared" si="13"/>
        <v>1.33333333333333</v>
      </c>
      <c r="AL40">
        <f t="shared" si="5"/>
        <v>2.3</v>
      </c>
      <c r="AM40">
        <f t="shared" si="14"/>
        <v>1.5</v>
      </c>
      <c r="AN4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1.66666666666667</v>
      </c>
      <c r="AO40">
        <f t="shared" si="6"/>
        <v>3</v>
      </c>
      <c r="AP40">
        <f>Form_Responses[[#This Row],[Emotional_Burden_Raw]]-(0.5*Form_Responses[[#This Row],[Protective_factor]])</f>
        <v>0.166666666666667</v>
      </c>
      <c r="AQ4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1.85714285714286</v>
      </c>
      <c r="AR4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Row],[Treatment_Score]]+(0.032997*E40))</f>
        <v>1.72078004761905</v>
      </c>
      <c r="AS40" t="str">
        <f>IF(Form_Responses[[#This Row],[PCA_distress_index]]&lt;1.5,"Low",IF(Form_Responses[[#This Row],[PCA_distress_index]]&lt;2.7,"Moderate","High"))</f>
        <v>Moderate</v>
      </c>
    </row>
    <row r="41" ht="22.5" customHeight="1" spans="1:45">
      <c r="A41" s="2" t="s">
        <v>45</v>
      </c>
      <c r="B41" s="2">
        <v>55</v>
      </c>
      <c r="C41" s="2">
        <v>0</v>
      </c>
      <c r="D41" s="2" t="s">
        <v>59</v>
      </c>
      <c r="E41" s="4">
        <f t="shared" si="9"/>
        <v>1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3</v>
      </c>
      <c r="N41" s="2">
        <v>3</v>
      </c>
      <c r="O41" s="2">
        <v>2</v>
      </c>
      <c r="P41" s="2">
        <v>3</v>
      </c>
      <c r="Q41" s="2">
        <v>3</v>
      </c>
      <c r="R41" s="2">
        <v>2</v>
      </c>
      <c r="S41" s="2">
        <v>3</v>
      </c>
      <c r="T41" s="2">
        <v>2</v>
      </c>
      <c r="U41" s="2">
        <v>3</v>
      </c>
      <c r="V41" s="2">
        <v>3</v>
      </c>
      <c r="W41" s="2">
        <v>3</v>
      </c>
      <c r="X41" s="2">
        <v>2</v>
      </c>
      <c r="Y41" s="2">
        <v>3</v>
      </c>
      <c r="Z41" s="2">
        <v>2</v>
      </c>
      <c r="AA41" s="2">
        <v>2</v>
      </c>
      <c r="AB41" s="2">
        <v>2</v>
      </c>
      <c r="AC41" s="2">
        <v>2</v>
      </c>
      <c r="AD41" s="2">
        <v>4</v>
      </c>
      <c r="AE41" s="2">
        <v>2</v>
      </c>
      <c r="AF41" s="2">
        <v>4</v>
      </c>
      <c r="AG41" s="2">
        <v>3</v>
      </c>
      <c r="AH41" s="4">
        <f t="shared" si="10"/>
        <v>3</v>
      </c>
      <c r="AI41" s="4">
        <f t="shared" si="11"/>
        <v>2.66666666666667</v>
      </c>
      <c r="AJ41" s="4">
        <f t="shared" si="12"/>
        <v>2.66666666666667</v>
      </c>
      <c r="AK41" s="4">
        <f t="shared" si="13"/>
        <v>3</v>
      </c>
      <c r="AL41">
        <f t="shared" si="5"/>
        <v>1.3</v>
      </c>
      <c r="AM41">
        <f t="shared" si="14"/>
        <v>3</v>
      </c>
      <c r="AN4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2.33333333333333</v>
      </c>
      <c r="AO41">
        <f t="shared" si="6"/>
        <v>3.5</v>
      </c>
      <c r="AP41">
        <f>Form_Responses[[#This Row],[Emotional_Burden_Raw]]-(0.5*Form_Responses[[#This Row],[Protective_factor]])</f>
        <v>0.583333333333333</v>
      </c>
      <c r="AQ4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2.57142857142857</v>
      </c>
      <c r="AR4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Row],[Treatment_Score]]+(0.032997*E41))</f>
        <v>2.45307430952381</v>
      </c>
      <c r="AS41" t="str">
        <f>IF(Form_Responses[[#This Row],[PCA_distress_index]]&lt;1.5,"Low",IF(Form_Responses[[#This Row],[PCA_distress_index]]&lt;2.7,"Moderate","High"))</f>
        <v>Moderate</v>
      </c>
    </row>
    <row r="42" ht="22.5" customHeight="1" spans="1:45">
      <c r="A42" s="2" t="s">
        <v>45</v>
      </c>
      <c r="B42" s="2">
        <v>25</v>
      </c>
      <c r="C42" s="2">
        <v>0</v>
      </c>
      <c r="D42" s="2" t="s">
        <v>53</v>
      </c>
      <c r="E42" s="4">
        <f t="shared" si="9"/>
        <v>5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1</v>
      </c>
      <c r="M42" s="2">
        <v>1</v>
      </c>
      <c r="N42" s="2">
        <v>3</v>
      </c>
      <c r="O42" s="2">
        <v>5</v>
      </c>
      <c r="P42" s="2">
        <v>5</v>
      </c>
      <c r="Q42" s="2">
        <v>4</v>
      </c>
      <c r="R42" s="2">
        <v>1</v>
      </c>
      <c r="S42" s="2">
        <v>5</v>
      </c>
      <c r="T42" s="2">
        <v>3</v>
      </c>
      <c r="U42" s="2">
        <v>4</v>
      </c>
      <c r="V42" s="2">
        <v>5</v>
      </c>
      <c r="W42" s="2">
        <v>5</v>
      </c>
      <c r="X42" s="2">
        <v>2</v>
      </c>
      <c r="Y42" s="2">
        <v>1</v>
      </c>
      <c r="Z42" s="2">
        <v>4</v>
      </c>
      <c r="AA42" s="2">
        <v>3</v>
      </c>
      <c r="AB42" s="2">
        <v>4</v>
      </c>
      <c r="AC42" s="2">
        <v>2</v>
      </c>
      <c r="AD42" s="2">
        <v>3</v>
      </c>
      <c r="AE42" s="2">
        <v>1</v>
      </c>
      <c r="AF42" s="2">
        <v>5</v>
      </c>
      <c r="AG42" s="2">
        <v>3</v>
      </c>
      <c r="AH42" s="4">
        <f t="shared" si="10"/>
        <v>3</v>
      </c>
      <c r="AI42" s="4">
        <f t="shared" si="11"/>
        <v>4</v>
      </c>
      <c r="AJ42" s="4">
        <f t="shared" si="12"/>
        <v>4</v>
      </c>
      <c r="AK42" s="4">
        <f t="shared" si="13"/>
        <v>3</v>
      </c>
      <c r="AL42">
        <f t="shared" si="5"/>
        <v>1.3</v>
      </c>
      <c r="AM42">
        <f t="shared" si="14"/>
        <v>3</v>
      </c>
      <c r="AN4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42">
        <f t="shared" si="6"/>
        <v>4</v>
      </c>
      <c r="AP42">
        <f>Form_Responses[[#This Row],[Emotional_Burden_Raw]]-(0.5*Form_Responses[[#This Row],[Protective_factor]])</f>
        <v>1</v>
      </c>
      <c r="AQ4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3.42857142857143</v>
      </c>
      <c r="AR4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Row],[Treatment_Score]]+(0.032997*E42))</f>
        <v>3.04579335714286</v>
      </c>
      <c r="AS42" t="str">
        <f>IF(Form_Responses[[#This Row],[PCA_distress_index]]&lt;1.5,"Low",IF(Form_Responses[[#This Row],[PCA_distress_index]]&lt;2.7,"Moderate","High"))</f>
        <v>High</v>
      </c>
    </row>
    <row r="43" ht="22.5" customHeight="1" spans="1:45">
      <c r="A43" s="2" t="s">
        <v>45</v>
      </c>
      <c r="B43" s="2">
        <v>25</v>
      </c>
      <c r="C43" s="2">
        <v>1</v>
      </c>
      <c r="D43" s="2" t="s">
        <v>60</v>
      </c>
      <c r="E43" s="4">
        <f t="shared" si="9"/>
        <v>1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1</v>
      </c>
      <c r="N43" s="2">
        <v>3</v>
      </c>
      <c r="O43" s="2">
        <v>5</v>
      </c>
      <c r="P43" s="2">
        <v>5</v>
      </c>
      <c r="Q43" s="2">
        <v>2</v>
      </c>
      <c r="R43" s="2">
        <v>1</v>
      </c>
      <c r="S43" s="2">
        <v>2</v>
      </c>
      <c r="T43" s="2">
        <v>3</v>
      </c>
      <c r="U43" s="2">
        <v>1</v>
      </c>
      <c r="V43" s="2">
        <v>1</v>
      </c>
      <c r="W43" s="2">
        <v>1</v>
      </c>
      <c r="X43" s="2">
        <v>1</v>
      </c>
      <c r="Y43" s="2">
        <v>3</v>
      </c>
      <c r="Z43" s="2">
        <v>1</v>
      </c>
      <c r="AA43" s="2">
        <v>4</v>
      </c>
      <c r="AB43" s="2">
        <v>5</v>
      </c>
      <c r="AC43" s="2">
        <v>1</v>
      </c>
      <c r="AD43" s="2">
        <v>1</v>
      </c>
      <c r="AE43" s="2">
        <v>1</v>
      </c>
      <c r="AF43" s="2">
        <v>5</v>
      </c>
      <c r="AG43" s="2">
        <v>1</v>
      </c>
      <c r="AH43" s="4">
        <f t="shared" si="10"/>
        <v>4</v>
      </c>
      <c r="AI43" s="4">
        <f t="shared" si="11"/>
        <v>2</v>
      </c>
      <c r="AJ43" s="4">
        <f t="shared" si="12"/>
        <v>2</v>
      </c>
      <c r="AK43" s="4">
        <f t="shared" si="13"/>
        <v>2.33333333333333</v>
      </c>
      <c r="AL43">
        <f t="shared" si="5"/>
        <v>1.3</v>
      </c>
      <c r="AM43">
        <f t="shared" si="14"/>
        <v>2.5</v>
      </c>
      <c r="AN4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2.33333333333333</v>
      </c>
      <c r="AO43">
        <f t="shared" si="6"/>
        <v>3</v>
      </c>
      <c r="AP43">
        <f>Form_Responses[[#This Row],[Emotional_Burden_Raw]]-(0.5*Form_Responses[[#This Row],[Protective_factor]])</f>
        <v>0.833333333333333</v>
      </c>
      <c r="AQ4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1.71428571428571</v>
      </c>
      <c r="AR4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Row],[Treatment_Score]]+(0.032997*E43))</f>
        <v>2.03547709523809</v>
      </c>
      <c r="AS43" t="str">
        <f>IF(Form_Responses[[#This Row],[PCA_distress_index]]&lt;1.5,"Low",IF(Form_Responses[[#This Row],[PCA_distress_index]]&lt;2.7,"Moderate","High"))</f>
        <v>Moderate</v>
      </c>
    </row>
    <row r="44" ht="22.5" customHeight="1" spans="1:45">
      <c r="A44" s="2" t="s">
        <v>45</v>
      </c>
      <c r="B44" s="2">
        <v>25</v>
      </c>
      <c r="C44" s="2">
        <v>0</v>
      </c>
      <c r="D44" s="2" t="s">
        <v>49</v>
      </c>
      <c r="E44" s="4">
        <f t="shared" si="9"/>
        <v>1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2</v>
      </c>
      <c r="N44" s="2">
        <v>3</v>
      </c>
      <c r="O44" s="2">
        <v>2</v>
      </c>
      <c r="P44" s="2">
        <v>3</v>
      </c>
      <c r="Q44" s="2">
        <v>3</v>
      </c>
      <c r="R44" s="2">
        <v>3</v>
      </c>
      <c r="S44" s="2">
        <v>5</v>
      </c>
      <c r="T44" s="2">
        <v>1</v>
      </c>
      <c r="U44" s="2">
        <v>3</v>
      </c>
      <c r="V44" s="2">
        <v>5</v>
      </c>
      <c r="W44" s="2">
        <v>1</v>
      </c>
      <c r="X44" s="2">
        <v>4</v>
      </c>
      <c r="Y44" s="2">
        <v>1</v>
      </c>
      <c r="Z44" s="2">
        <v>1</v>
      </c>
      <c r="AA44" s="2">
        <v>2</v>
      </c>
      <c r="AB44" s="2">
        <v>3</v>
      </c>
      <c r="AC44" s="2">
        <v>3</v>
      </c>
      <c r="AD44" s="2">
        <v>3</v>
      </c>
      <c r="AE44" s="2">
        <v>3</v>
      </c>
      <c r="AF44" s="2">
        <v>4</v>
      </c>
      <c r="AG44" s="2">
        <v>2</v>
      </c>
      <c r="AH44" s="4">
        <f t="shared" si="10"/>
        <v>2</v>
      </c>
      <c r="AI44" s="4">
        <f t="shared" si="11"/>
        <v>3.33333333333333</v>
      </c>
      <c r="AJ44" s="4">
        <f t="shared" si="12"/>
        <v>1.66666666666667</v>
      </c>
      <c r="AK44" s="4">
        <f t="shared" si="13"/>
        <v>2.33333333333333</v>
      </c>
      <c r="AL44">
        <f t="shared" si="5"/>
        <v>0</v>
      </c>
      <c r="AM44">
        <f t="shared" si="14"/>
        <v>2.5</v>
      </c>
      <c r="AN4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44">
        <f t="shared" si="6"/>
        <v>3</v>
      </c>
      <c r="AP44">
        <f>Form_Responses[[#This Row],[Emotional_Burden_Raw]]-(0.5*Form_Responses[[#This Row],[Protective_factor]])</f>
        <v>1.5</v>
      </c>
      <c r="AQ4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4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Row],[Treatment_Score]]+(0.032997*E44))</f>
        <v>2.32698135714286</v>
      </c>
      <c r="AS44" t="str">
        <f>IF(Form_Responses[[#This Row],[PCA_distress_index]]&lt;1.5,"Low",IF(Form_Responses[[#This Row],[PCA_distress_index]]&lt;2.7,"Moderate","High"))</f>
        <v>Moderate</v>
      </c>
    </row>
    <row r="45" ht="22.5" customHeight="1" spans="1:45">
      <c r="A45" s="2" t="s">
        <v>45</v>
      </c>
      <c r="B45" s="2">
        <v>25</v>
      </c>
      <c r="C45" s="2">
        <v>0</v>
      </c>
      <c r="D45" s="2" t="s">
        <v>52</v>
      </c>
      <c r="E45" s="4">
        <f t="shared" si="9"/>
        <v>4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2</v>
      </c>
      <c r="N45" s="2">
        <v>2</v>
      </c>
      <c r="O45" s="2">
        <v>2</v>
      </c>
      <c r="P45" s="2">
        <v>2</v>
      </c>
      <c r="Q45" s="2">
        <v>2</v>
      </c>
      <c r="R45" s="2">
        <v>2</v>
      </c>
      <c r="S45" s="2">
        <v>2</v>
      </c>
      <c r="T45" s="2">
        <v>2</v>
      </c>
      <c r="U45" s="2">
        <v>2</v>
      </c>
      <c r="V45" s="2">
        <v>2</v>
      </c>
      <c r="W45" s="2">
        <v>2</v>
      </c>
      <c r="X45" s="2">
        <v>2</v>
      </c>
      <c r="Y45" s="2">
        <v>2</v>
      </c>
      <c r="Z45" s="2">
        <v>2</v>
      </c>
      <c r="AA45" s="2">
        <v>2</v>
      </c>
      <c r="AB45" s="2">
        <v>2</v>
      </c>
      <c r="AC45" s="2">
        <v>2</v>
      </c>
      <c r="AD45" s="2">
        <v>2</v>
      </c>
      <c r="AE45" s="2">
        <v>2</v>
      </c>
      <c r="AF45" s="2">
        <v>2</v>
      </c>
      <c r="AG45" s="2">
        <v>2</v>
      </c>
      <c r="AH45" s="4">
        <f t="shared" si="10"/>
        <v>2</v>
      </c>
      <c r="AI45" s="4">
        <f t="shared" si="11"/>
        <v>2</v>
      </c>
      <c r="AJ45" s="4">
        <f t="shared" si="12"/>
        <v>2</v>
      </c>
      <c r="AK45" s="4">
        <f t="shared" si="13"/>
        <v>2</v>
      </c>
      <c r="AL45">
        <f t="shared" si="5"/>
        <v>1.3</v>
      </c>
      <c r="AM45">
        <f t="shared" si="14"/>
        <v>2</v>
      </c>
      <c r="AN4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45">
        <f t="shared" si="6"/>
        <v>2</v>
      </c>
      <c r="AP45">
        <f>Form_Responses[[#This Row],[Emotional_Burden_Raw]]-(0.5*Form_Responses[[#This Row],[Protective_factor]])</f>
        <v>1</v>
      </c>
      <c r="AQ4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</v>
      </c>
      <c r="AR4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Row],[Treatment_Score]]+(0.032997*E45))</f>
        <v>2.0000105</v>
      </c>
      <c r="AS45" t="str">
        <f>IF(Form_Responses[[#This Row],[PCA_distress_index]]&lt;1.5,"Low",IF(Form_Responses[[#This Row],[PCA_distress_index]]&lt;2.7,"Moderate","High"))</f>
        <v>Moderate</v>
      </c>
    </row>
    <row r="46" ht="22.5" customHeight="1" spans="1:45">
      <c r="A46" s="2" t="s">
        <v>45</v>
      </c>
      <c r="B46" s="2">
        <v>25</v>
      </c>
      <c r="C46" s="2">
        <v>1</v>
      </c>
      <c r="D46" s="2" t="s">
        <v>47</v>
      </c>
      <c r="E46" s="4">
        <f t="shared" si="9"/>
        <v>4</v>
      </c>
      <c r="F46" s="2">
        <v>1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1</v>
      </c>
      <c r="M46" s="2">
        <v>2</v>
      </c>
      <c r="N46" s="2">
        <v>2</v>
      </c>
      <c r="O46" s="2">
        <v>1</v>
      </c>
      <c r="P46" s="2">
        <v>2</v>
      </c>
      <c r="Q46" s="2">
        <v>2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2</v>
      </c>
      <c r="AG46" s="2">
        <v>1</v>
      </c>
      <c r="AH46" s="4">
        <f t="shared" si="10"/>
        <v>1.5</v>
      </c>
      <c r="AI46" s="4">
        <f t="shared" si="11"/>
        <v>1</v>
      </c>
      <c r="AJ46" s="4">
        <f t="shared" si="12"/>
        <v>1.33333333333333</v>
      </c>
      <c r="AK46" s="4">
        <f t="shared" si="13"/>
        <v>1.33333333333333</v>
      </c>
      <c r="AL46">
        <f t="shared" si="5"/>
        <v>1.3</v>
      </c>
      <c r="AM46">
        <f t="shared" si="14"/>
        <v>1.5</v>
      </c>
      <c r="AN4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1.16666666666667</v>
      </c>
      <c r="AO46">
        <f t="shared" si="6"/>
        <v>1.5</v>
      </c>
      <c r="AP46">
        <f>Form_Responses[[#This Row],[Emotional_Burden_Raw]]-(0.5*Form_Responses[[#This Row],[Protective_factor]])</f>
        <v>0.416666666666667</v>
      </c>
      <c r="AQ4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</v>
      </c>
      <c r="AR4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Row],[Treatment_Score]]+(0.032997*E46))</f>
        <v>1.30993433333333</v>
      </c>
      <c r="AS46" t="str">
        <f>IF(Form_Responses[[#This Row],[PCA_distress_index]]&lt;1.5,"Low",IF(Form_Responses[[#This Row],[PCA_distress_index]]&lt;2.7,"Moderate","High"))</f>
        <v>Low</v>
      </c>
    </row>
    <row r="47" ht="22.5" customHeight="1" spans="1:45">
      <c r="A47" s="2" t="s">
        <v>45</v>
      </c>
      <c r="B47" s="2">
        <v>25</v>
      </c>
      <c r="C47" s="2">
        <v>0</v>
      </c>
      <c r="D47" s="2" t="s">
        <v>52</v>
      </c>
      <c r="E47" s="4">
        <f t="shared" si="9"/>
        <v>4</v>
      </c>
      <c r="F47" s="2">
        <v>1</v>
      </c>
      <c r="G47" s="2">
        <v>0</v>
      </c>
      <c r="H47" s="2">
        <v>1</v>
      </c>
      <c r="I47" s="2">
        <v>0</v>
      </c>
      <c r="J47" s="2">
        <v>1</v>
      </c>
      <c r="K47" s="2">
        <v>0</v>
      </c>
      <c r="L47" s="2">
        <v>1</v>
      </c>
      <c r="M47" s="2">
        <v>2</v>
      </c>
      <c r="N47" s="2">
        <v>3</v>
      </c>
      <c r="O47" s="2">
        <v>3</v>
      </c>
      <c r="P47" s="2">
        <v>3</v>
      </c>
      <c r="Q47" s="2">
        <v>2</v>
      </c>
      <c r="R47" s="2">
        <v>4</v>
      </c>
      <c r="S47" s="2">
        <v>3</v>
      </c>
      <c r="T47" s="2">
        <v>3</v>
      </c>
      <c r="U47" s="2">
        <v>4</v>
      </c>
      <c r="V47" s="2">
        <v>2</v>
      </c>
      <c r="W47" s="2">
        <v>1</v>
      </c>
      <c r="X47" s="2">
        <v>3</v>
      </c>
      <c r="Y47" s="2">
        <v>4</v>
      </c>
      <c r="Z47" s="2">
        <v>4</v>
      </c>
      <c r="AA47" s="2">
        <v>2</v>
      </c>
      <c r="AB47" s="2">
        <v>3</v>
      </c>
      <c r="AC47" s="2">
        <v>3</v>
      </c>
      <c r="AD47" s="2">
        <v>3</v>
      </c>
      <c r="AE47" s="2">
        <v>2</v>
      </c>
      <c r="AF47" s="2">
        <v>4</v>
      </c>
      <c r="AG47" s="2">
        <v>3</v>
      </c>
      <c r="AH47" s="4">
        <f t="shared" si="10"/>
        <v>3.5</v>
      </c>
      <c r="AI47" s="4">
        <f t="shared" si="11"/>
        <v>2.66666666666667</v>
      </c>
      <c r="AJ47" s="4">
        <f t="shared" si="12"/>
        <v>2</v>
      </c>
      <c r="AK47" s="4">
        <f t="shared" si="13"/>
        <v>2.66666666666667</v>
      </c>
      <c r="AL47">
        <f t="shared" si="5"/>
        <v>3.4</v>
      </c>
      <c r="AM47">
        <f t="shared" si="14"/>
        <v>2.75</v>
      </c>
      <c r="AN4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47">
        <f t="shared" si="6"/>
        <v>3.5</v>
      </c>
      <c r="AP47">
        <f>Form_Responses[[#This Row],[Emotional_Burden_Raw]]-(0.5*Form_Responses[[#This Row],[Protective_factor]])</f>
        <v>1.08333333333333</v>
      </c>
      <c r="AQ4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4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Row],[Treatment_Score]]+(0.032997*E47))</f>
        <v>2.91011263095238</v>
      </c>
      <c r="AS47" t="str">
        <f>IF(Form_Responses[[#This Row],[PCA_distress_index]]&lt;1.5,"Low",IF(Form_Responses[[#This Row],[PCA_distress_index]]&lt;2.7,"Moderate","High"))</f>
        <v>High</v>
      </c>
    </row>
    <row r="48" ht="22.5" customHeight="1" spans="1:45">
      <c r="A48" s="2" t="s">
        <v>45</v>
      </c>
      <c r="B48" s="2">
        <v>25</v>
      </c>
      <c r="C48" s="2">
        <v>1</v>
      </c>
      <c r="D48" s="2" t="s">
        <v>50</v>
      </c>
      <c r="E48" s="4">
        <f t="shared" si="9"/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3</v>
      </c>
      <c r="N48" s="2">
        <v>2</v>
      </c>
      <c r="O48" s="2">
        <v>2</v>
      </c>
      <c r="P48" s="2">
        <v>3</v>
      </c>
      <c r="Q48" s="2">
        <v>2</v>
      </c>
      <c r="R48" s="2">
        <v>3</v>
      </c>
      <c r="S48" s="2">
        <v>4</v>
      </c>
      <c r="T48" s="2">
        <v>2</v>
      </c>
      <c r="U48" s="2">
        <v>3</v>
      </c>
      <c r="V48" s="2">
        <v>3</v>
      </c>
      <c r="W48" s="2">
        <v>2</v>
      </c>
      <c r="X48" s="2">
        <v>3</v>
      </c>
      <c r="Y48" s="2">
        <v>2</v>
      </c>
      <c r="Z48" s="2">
        <v>3</v>
      </c>
      <c r="AA48" s="2">
        <v>1</v>
      </c>
      <c r="AB48" s="2">
        <v>2</v>
      </c>
      <c r="AC48" s="2">
        <v>2</v>
      </c>
      <c r="AD48" s="2">
        <v>2</v>
      </c>
      <c r="AE48" s="2">
        <v>2</v>
      </c>
      <c r="AF48" s="2">
        <v>2</v>
      </c>
      <c r="AG48" s="2">
        <v>3</v>
      </c>
      <c r="AH48" s="4">
        <f t="shared" si="10"/>
        <v>2.5</v>
      </c>
      <c r="AI48" s="4">
        <f t="shared" si="11"/>
        <v>2.33333333333333</v>
      </c>
      <c r="AJ48" s="4">
        <f t="shared" si="12"/>
        <v>2</v>
      </c>
      <c r="AK48" s="4">
        <f t="shared" si="13"/>
        <v>2.33333333333333</v>
      </c>
      <c r="AL48">
        <f t="shared" si="5"/>
        <v>0</v>
      </c>
      <c r="AM48">
        <f t="shared" si="14"/>
        <v>2.25</v>
      </c>
      <c r="AN4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2.5</v>
      </c>
      <c r="AO48">
        <f t="shared" si="6"/>
        <v>2.5</v>
      </c>
      <c r="AP48">
        <f>Form_Responses[[#This Row],[Emotional_Burden_Raw]]-(0.5*Form_Responses[[#This Row],[Protective_factor]])</f>
        <v>1.25</v>
      </c>
      <c r="AQ4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4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Row],[Treatment_Score]]+(0.032997*E48))</f>
        <v>2.12275160714286</v>
      </c>
      <c r="AS48" t="str">
        <f>IF(Form_Responses[[#This Row],[PCA_distress_index]]&lt;1.5,"Low",IF(Form_Responses[[#This Row],[PCA_distress_index]]&lt;2.7,"Moderate","High"))</f>
        <v>Moderate</v>
      </c>
    </row>
    <row r="49" ht="22.5" customHeight="1" spans="1:45">
      <c r="A49" s="2" t="s">
        <v>45</v>
      </c>
      <c r="B49" s="2">
        <v>25</v>
      </c>
      <c r="C49" s="2">
        <v>1</v>
      </c>
      <c r="D49" s="2" t="s">
        <v>46</v>
      </c>
      <c r="E49" s="4">
        <f t="shared" si="9"/>
        <v>3</v>
      </c>
      <c r="F49" s="2">
        <v>1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3</v>
      </c>
      <c r="N49" s="2">
        <v>4</v>
      </c>
      <c r="O49" s="2">
        <v>5</v>
      </c>
      <c r="P49" s="2">
        <v>4</v>
      </c>
      <c r="Q49" s="2">
        <v>4</v>
      </c>
      <c r="R49" s="2">
        <v>2</v>
      </c>
      <c r="S49" s="2">
        <v>3</v>
      </c>
      <c r="T49" s="2">
        <v>4</v>
      </c>
      <c r="U49" s="2">
        <v>3</v>
      </c>
      <c r="V49" s="2">
        <v>3</v>
      </c>
      <c r="W49" s="2">
        <v>4</v>
      </c>
      <c r="X49" s="2">
        <v>2</v>
      </c>
      <c r="Y49" s="2">
        <v>3</v>
      </c>
      <c r="Z49" s="2">
        <v>4</v>
      </c>
      <c r="AA49" s="2">
        <v>3</v>
      </c>
      <c r="AB49" s="2">
        <v>2</v>
      </c>
      <c r="AC49" s="2">
        <v>3</v>
      </c>
      <c r="AD49" s="2">
        <v>3</v>
      </c>
      <c r="AE49" s="2">
        <v>4</v>
      </c>
      <c r="AF49" s="2">
        <v>3</v>
      </c>
      <c r="AG49" s="2">
        <v>4</v>
      </c>
      <c r="AH49" s="4">
        <f t="shared" si="10"/>
        <v>3.5</v>
      </c>
      <c r="AI49" s="4">
        <f t="shared" si="11"/>
        <v>3</v>
      </c>
      <c r="AJ49" s="4">
        <f t="shared" si="12"/>
        <v>4</v>
      </c>
      <c r="AK49" s="4">
        <f t="shared" si="13"/>
        <v>3.66666666666667</v>
      </c>
      <c r="AL49">
        <f t="shared" si="5"/>
        <v>2</v>
      </c>
      <c r="AM49">
        <f t="shared" si="14"/>
        <v>3.75</v>
      </c>
      <c r="AN4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49">
        <f t="shared" si="6"/>
        <v>3.5</v>
      </c>
      <c r="AP49">
        <f>Form_Responses[[#This Row],[Emotional_Burden_Raw]]-(0.5*Form_Responses[[#This Row],[Protective_factor]])</f>
        <v>1.41666666666667</v>
      </c>
      <c r="AQ4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4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Row],[Treatment_Score]]+(0.032997*E49))</f>
        <v>3.20383486904762</v>
      </c>
      <c r="AS49" t="str">
        <f>IF(Form_Responses[[#This Row],[PCA_distress_index]]&lt;1.5,"Low",IF(Form_Responses[[#This Row],[PCA_distress_index]]&lt;2.7,"Moderate","High"))</f>
        <v>High</v>
      </c>
    </row>
    <row r="50" ht="22.5" customHeight="1" spans="1:45">
      <c r="A50" s="2" t="s">
        <v>45</v>
      </c>
      <c r="B50" s="2">
        <v>45</v>
      </c>
      <c r="C50" s="2">
        <v>1</v>
      </c>
      <c r="D50" s="2" t="s">
        <v>46</v>
      </c>
      <c r="E50" s="4">
        <f t="shared" si="9"/>
        <v>3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1</v>
      </c>
      <c r="M50" s="2">
        <v>5</v>
      </c>
      <c r="N50" s="2">
        <v>4</v>
      </c>
      <c r="O50" s="2">
        <v>3</v>
      </c>
      <c r="P50" s="2">
        <v>5</v>
      </c>
      <c r="Q50" s="2">
        <v>4</v>
      </c>
      <c r="R50" s="2">
        <v>3</v>
      </c>
      <c r="S50" s="2">
        <v>3</v>
      </c>
      <c r="T50" s="2">
        <v>3</v>
      </c>
      <c r="U50" s="2">
        <v>3</v>
      </c>
      <c r="V50" s="2">
        <v>3</v>
      </c>
      <c r="W50" s="2">
        <v>3</v>
      </c>
      <c r="X50" s="2">
        <v>3</v>
      </c>
      <c r="Y50" s="2">
        <v>3</v>
      </c>
      <c r="Z50" s="2">
        <v>3</v>
      </c>
      <c r="AA50" s="2">
        <v>3</v>
      </c>
      <c r="AB50" s="2">
        <v>3</v>
      </c>
      <c r="AC50" s="2">
        <v>3</v>
      </c>
      <c r="AD50" s="2">
        <v>3</v>
      </c>
      <c r="AE50" s="2">
        <v>3</v>
      </c>
      <c r="AF50" s="2">
        <v>3</v>
      </c>
      <c r="AG50" s="2">
        <v>3</v>
      </c>
      <c r="AH50" s="4">
        <f t="shared" si="10"/>
        <v>4</v>
      </c>
      <c r="AI50" s="4">
        <f t="shared" si="11"/>
        <v>3</v>
      </c>
      <c r="AJ50" s="4">
        <f t="shared" si="12"/>
        <v>3.33333333333333</v>
      </c>
      <c r="AK50" s="4">
        <f t="shared" si="13"/>
        <v>3.66666666666667</v>
      </c>
      <c r="AL50">
        <f t="shared" si="5"/>
        <v>0</v>
      </c>
      <c r="AM50">
        <f t="shared" si="14"/>
        <v>3.75</v>
      </c>
      <c r="AN5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50">
        <f t="shared" si="6"/>
        <v>3</v>
      </c>
      <c r="AP50">
        <f>Form_Responses[[#This Row],[Emotional_Burden_Raw]]-(0.5*Form_Responses[[#This Row],[Protective_factor]])</f>
        <v>1.66666666666667</v>
      </c>
      <c r="AQ5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5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Row],[Treatment_Score]]+(0.032997*E50))</f>
        <v>2.96862258333333</v>
      </c>
      <c r="AS50" t="str">
        <f>IF(Form_Responses[[#This Row],[PCA_distress_index]]&lt;1.5,"Low",IF(Form_Responses[[#This Row],[PCA_distress_index]]&lt;2.7,"Moderate","High"))</f>
        <v>High</v>
      </c>
    </row>
    <row r="51" ht="22.5" customHeight="1" spans="1:45">
      <c r="A51" s="2" t="s">
        <v>45</v>
      </c>
      <c r="B51" s="2">
        <v>25</v>
      </c>
      <c r="C51" s="2">
        <v>0</v>
      </c>
      <c r="D51" s="2" t="s">
        <v>52</v>
      </c>
      <c r="E51" s="4">
        <f t="shared" si="9"/>
        <v>4</v>
      </c>
      <c r="F51" s="2">
        <v>1</v>
      </c>
      <c r="G51" s="2">
        <v>1</v>
      </c>
      <c r="H51" s="2">
        <v>0</v>
      </c>
      <c r="I51" s="2">
        <v>0</v>
      </c>
      <c r="J51" s="2">
        <v>0</v>
      </c>
      <c r="K51" s="2">
        <v>0</v>
      </c>
      <c r="L51" s="2">
        <v>1</v>
      </c>
      <c r="M51" s="2">
        <v>2</v>
      </c>
      <c r="N51" s="2">
        <v>2</v>
      </c>
      <c r="O51" s="2">
        <v>3</v>
      </c>
      <c r="P51" s="2">
        <v>3</v>
      </c>
      <c r="Q51" s="2">
        <v>2</v>
      </c>
      <c r="R51" s="2">
        <v>2</v>
      </c>
      <c r="S51" s="2">
        <v>2</v>
      </c>
      <c r="T51" s="2">
        <v>2</v>
      </c>
      <c r="U51" s="2">
        <v>2</v>
      </c>
      <c r="V51" s="2">
        <v>3</v>
      </c>
      <c r="W51" s="2">
        <v>3</v>
      </c>
      <c r="X51" s="2">
        <v>3</v>
      </c>
      <c r="Y51" s="2">
        <v>3</v>
      </c>
      <c r="Z51" s="2">
        <v>4</v>
      </c>
      <c r="AA51" s="2">
        <v>4</v>
      </c>
      <c r="AB51" s="2">
        <v>5</v>
      </c>
      <c r="AC51" s="2">
        <v>4</v>
      </c>
      <c r="AD51" s="2">
        <v>4</v>
      </c>
      <c r="AE51" s="2">
        <v>3</v>
      </c>
      <c r="AF51" s="2">
        <v>4</v>
      </c>
      <c r="AG51" s="2">
        <v>4</v>
      </c>
      <c r="AH51" s="4">
        <f t="shared" si="10"/>
        <v>3</v>
      </c>
      <c r="AI51" s="4">
        <f t="shared" si="11"/>
        <v>3</v>
      </c>
      <c r="AJ51" s="4">
        <f t="shared" si="12"/>
        <v>2.33333333333333</v>
      </c>
      <c r="AK51" s="4">
        <f t="shared" si="13"/>
        <v>3</v>
      </c>
      <c r="AL51">
        <f t="shared" si="5"/>
        <v>2</v>
      </c>
      <c r="AM51">
        <f t="shared" si="14"/>
        <v>2.75</v>
      </c>
      <c r="AN5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51">
        <f t="shared" si="6"/>
        <v>4</v>
      </c>
      <c r="AP51">
        <f>Form_Responses[[#This Row],[Emotional_Burden_Raw]]-(0.5*Form_Responses[[#This Row],[Protective_factor]])</f>
        <v>0.666666666666667</v>
      </c>
      <c r="AQ5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5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Row],[Treatment_Score]]+(0.032997*E51))</f>
        <v>2.82634686904762</v>
      </c>
      <c r="AS51" t="str">
        <f>IF(Form_Responses[[#This Row],[PCA_distress_index]]&lt;1.5,"Low",IF(Form_Responses[[#This Row],[PCA_distress_index]]&lt;2.7,"Moderate","High"))</f>
        <v>High</v>
      </c>
    </row>
    <row r="52" ht="22.5" customHeight="1" spans="1:45">
      <c r="A52" s="2" t="s">
        <v>45</v>
      </c>
      <c r="B52" s="2">
        <v>25</v>
      </c>
      <c r="C52" s="2">
        <v>1</v>
      </c>
      <c r="D52" s="2" t="s">
        <v>47</v>
      </c>
      <c r="E52" s="4">
        <f t="shared" si="9"/>
        <v>4</v>
      </c>
      <c r="F52" s="2">
        <v>1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</v>
      </c>
      <c r="M52" s="2">
        <v>2</v>
      </c>
      <c r="N52" s="2">
        <v>2</v>
      </c>
      <c r="O52" s="2">
        <v>2</v>
      </c>
      <c r="P52" s="2">
        <v>1</v>
      </c>
      <c r="Q52" s="2">
        <v>1</v>
      </c>
      <c r="R52" s="2">
        <v>1</v>
      </c>
      <c r="S52" s="2">
        <v>1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4</v>
      </c>
      <c r="Z52" s="2">
        <v>1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2</v>
      </c>
      <c r="AG52" s="2">
        <v>1</v>
      </c>
      <c r="AH52" s="4">
        <f t="shared" si="10"/>
        <v>2.5</v>
      </c>
      <c r="AI52" s="4">
        <f t="shared" si="11"/>
        <v>1</v>
      </c>
      <c r="AJ52" s="4">
        <f t="shared" si="12"/>
        <v>1</v>
      </c>
      <c r="AK52" s="4">
        <f t="shared" si="13"/>
        <v>1.66666666666667</v>
      </c>
      <c r="AL52">
        <f t="shared" si="5"/>
        <v>1.3</v>
      </c>
      <c r="AM52">
        <f t="shared" si="14"/>
        <v>1.75</v>
      </c>
      <c r="AN5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</v>
      </c>
      <c r="AO52">
        <f t="shared" si="6"/>
        <v>1.5</v>
      </c>
      <c r="AP52">
        <f>Form_Responses[[#This Row],[Emotional_Burden_Raw]]-(0.5*Form_Responses[[#This Row],[Protective_factor]])</f>
        <v>0.25</v>
      </c>
      <c r="AQ5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1.42857142857143</v>
      </c>
      <c r="AR5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Row],[Treatment_Score]]+(0.032997*E52))</f>
        <v>1.47357360714286</v>
      </c>
      <c r="AS52" t="str">
        <f>IF(Form_Responses[[#This Row],[PCA_distress_index]]&lt;1.5,"Low",IF(Form_Responses[[#This Row],[PCA_distress_index]]&lt;2.7,"Moderate","High"))</f>
        <v>Low</v>
      </c>
    </row>
    <row r="53" ht="22.5" customHeight="1" spans="1:45">
      <c r="A53" s="2" t="s">
        <v>45</v>
      </c>
      <c r="B53" s="2">
        <v>25</v>
      </c>
      <c r="C53" s="2">
        <v>0</v>
      </c>
      <c r="D53" s="2" t="s">
        <v>46</v>
      </c>
      <c r="E53" s="4">
        <f t="shared" si="9"/>
        <v>3</v>
      </c>
      <c r="F53" s="2">
        <v>0</v>
      </c>
      <c r="G53" s="2">
        <v>0</v>
      </c>
      <c r="H53" s="2">
        <v>1</v>
      </c>
      <c r="I53" s="2">
        <v>0</v>
      </c>
      <c r="J53" s="2">
        <v>0</v>
      </c>
      <c r="K53" s="2">
        <v>0</v>
      </c>
      <c r="L53" s="2">
        <v>1</v>
      </c>
      <c r="M53" s="2">
        <v>3</v>
      </c>
      <c r="N53" s="2">
        <v>3</v>
      </c>
      <c r="O53" s="2">
        <v>3</v>
      </c>
      <c r="P53" s="2">
        <v>2</v>
      </c>
      <c r="Q53" s="2">
        <v>3</v>
      </c>
      <c r="R53" s="2">
        <v>4</v>
      </c>
      <c r="S53" s="2">
        <v>3</v>
      </c>
      <c r="T53" s="2">
        <v>4</v>
      </c>
      <c r="U53" s="2">
        <v>3</v>
      </c>
      <c r="V53" s="2">
        <v>3</v>
      </c>
      <c r="W53" s="2">
        <v>3</v>
      </c>
      <c r="X53" s="2">
        <v>2</v>
      </c>
      <c r="Y53" s="2">
        <v>5</v>
      </c>
      <c r="Z53" s="2">
        <v>3</v>
      </c>
      <c r="AA53" s="2">
        <v>4</v>
      </c>
      <c r="AB53" s="2">
        <v>4</v>
      </c>
      <c r="AC53" s="2">
        <v>4</v>
      </c>
      <c r="AD53" s="2">
        <v>4</v>
      </c>
      <c r="AE53" s="2">
        <v>3</v>
      </c>
      <c r="AF53" s="2">
        <v>3</v>
      </c>
      <c r="AG53" s="2">
        <v>3</v>
      </c>
      <c r="AH53" s="4">
        <f t="shared" si="10"/>
        <v>3.5</v>
      </c>
      <c r="AI53" s="4">
        <f t="shared" si="11"/>
        <v>3.33333333333333</v>
      </c>
      <c r="AJ53" s="4">
        <f t="shared" si="12"/>
        <v>3.33333333333333</v>
      </c>
      <c r="AK53" s="4">
        <f t="shared" si="13"/>
        <v>3.33333333333333</v>
      </c>
      <c r="AL53">
        <f t="shared" si="5"/>
        <v>1</v>
      </c>
      <c r="AM53">
        <f t="shared" si="14"/>
        <v>3.25</v>
      </c>
      <c r="AN5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3.5</v>
      </c>
      <c r="AO53">
        <f t="shared" si="6"/>
        <v>3</v>
      </c>
      <c r="AP53">
        <f>Form_Responses[[#This Row],[Emotional_Burden_Raw]]-(0.5*Form_Responses[[#This Row],[Protective_factor]])</f>
        <v>2</v>
      </c>
      <c r="AQ5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5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Row],[Treatment_Score]]+(0.032997*E53))</f>
        <v>3.10906732142857</v>
      </c>
      <c r="AS53" t="str">
        <f>IF(Form_Responses[[#This Row],[PCA_distress_index]]&lt;1.5,"Low",IF(Form_Responses[[#This Row],[PCA_distress_index]]&lt;2.7,"Moderate","High"))</f>
        <v>High</v>
      </c>
    </row>
    <row r="54" ht="22.5" customHeight="1" spans="1:45">
      <c r="A54" s="2" t="s">
        <v>45</v>
      </c>
      <c r="B54" s="2">
        <v>25</v>
      </c>
      <c r="C54" s="2">
        <v>0</v>
      </c>
      <c r="D54" s="2" t="s">
        <v>47</v>
      </c>
      <c r="E54" s="4">
        <f t="shared" si="9"/>
        <v>4</v>
      </c>
      <c r="F54" s="2">
        <v>0</v>
      </c>
      <c r="G54" s="2">
        <v>0</v>
      </c>
      <c r="H54" s="2">
        <v>1</v>
      </c>
      <c r="I54" s="2">
        <v>0</v>
      </c>
      <c r="J54" s="2">
        <v>1</v>
      </c>
      <c r="K54" s="2">
        <v>0</v>
      </c>
      <c r="L54" s="2">
        <v>0</v>
      </c>
      <c r="M54" s="2">
        <v>3</v>
      </c>
      <c r="N54" s="2">
        <v>3</v>
      </c>
      <c r="O54" s="2">
        <v>3</v>
      </c>
      <c r="P54" s="2">
        <v>3</v>
      </c>
      <c r="Q54" s="2">
        <v>3</v>
      </c>
      <c r="R54" s="2">
        <v>3</v>
      </c>
      <c r="S54" s="2">
        <v>3</v>
      </c>
      <c r="T54" s="2">
        <v>3</v>
      </c>
      <c r="U54" s="2">
        <v>3</v>
      </c>
      <c r="V54" s="2">
        <v>3</v>
      </c>
      <c r="W54" s="2">
        <v>3</v>
      </c>
      <c r="X54" s="2">
        <v>3</v>
      </c>
      <c r="Y54" s="2">
        <v>3</v>
      </c>
      <c r="Z54" s="2">
        <v>3</v>
      </c>
      <c r="AA54" s="2">
        <v>3</v>
      </c>
      <c r="AB54" s="2">
        <v>3</v>
      </c>
      <c r="AC54" s="2">
        <v>3</v>
      </c>
      <c r="AD54" s="2">
        <v>3</v>
      </c>
      <c r="AE54" s="2">
        <v>3</v>
      </c>
      <c r="AF54" s="2">
        <v>3</v>
      </c>
      <c r="AG54" s="2">
        <v>3</v>
      </c>
      <c r="AH54" s="4">
        <f t="shared" si="10"/>
        <v>3</v>
      </c>
      <c r="AI54" s="4">
        <f t="shared" si="11"/>
        <v>3</v>
      </c>
      <c r="AJ54" s="4">
        <f t="shared" si="12"/>
        <v>3</v>
      </c>
      <c r="AK54" s="4">
        <f t="shared" si="13"/>
        <v>3</v>
      </c>
      <c r="AL54">
        <f t="shared" si="5"/>
        <v>2.1</v>
      </c>
      <c r="AM54">
        <f t="shared" si="14"/>
        <v>3</v>
      </c>
      <c r="AN5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54">
        <f t="shared" si="6"/>
        <v>3</v>
      </c>
      <c r="AP54">
        <f>Form_Responses[[#This Row],[Emotional_Burden_Raw]]-(0.5*Form_Responses[[#This Row],[Protective_factor]])</f>
        <v>1.5</v>
      </c>
      <c r="AQ5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5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Row],[Treatment_Score]]+(0.032997*E54))</f>
        <v>2.9481615</v>
      </c>
      <c r="AS54" t="str">
        <f>IF(Form_Responses[[#This Row],[PCA_distress_index]]&lt;1.5,"Low",IF(Form_Responses[[#This Row],[PCA_distress_index]]&lt;2.7,"Moderate","High"))</f>
        <v>High</v>
      </c>
    </row>
    <row r="55" ht="22.5" customHeight="1" spans="1:45">
      <c r="A55" s="2" t="s">
        <v>45</v>
      </c>
      <c r="B55" s="2">
        <v>25</v>
      </c>
      <c r="C55" s="2">
        <v>1</v>
      </c>
      <c r="D55" s="2" t="s">
        <v>50</v>
      </c>
      <c r="E55" s="4">
        <f t="shared" si="9"/>
        <v>1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1</v>
      </c>
      <c r="M55" s="2">
        <v>3</v>
      </c>
      <c r="N55" s="2">
        <v>3</v>
      </c>
      <c r="O55" s="2">
        <v>3</v>
      </c>
      <c r="P55" s="2">
        <v>3</v>
      </c>
      <c r="Q55" s="2">
        <v>3</v>
      </c>
      <c r="R55" s="2">
        <v>3</v>
      </c>
      <c r="S55" s="2">
        <v>3</v>
      </c>
      <c r="T55" s="2">
        <v>3</v>
      </c>
      <c r="U55" s="2">
        <v>3</v>
      </c>
      <c r="V55" s="2">
        <v>3</v>
      </c>
      <c r="W55" s="2">
        <v>3</v>
      </c>
      <c r="X55" s="2">
        <v>3</v>
      </c>
      <c r="Y55" s="2">
        <v>3</v>
      </c>
      <c r="Z55" s="2">
        <v>3</v>
      </c>
      <c r="AA55" s="2">
        <v>3</v>
      </c>
      <c r="AB55" s="2">
        <v>3</v>
      </c>
      <c r="AC55" s="2">
        <v>3</v>
      </c>
      <c r="AD55" s="2">
        <v>3</v>
      </c>
      <c r="AE55" s="2">
        <v>3</v>
      </c>
      <c r="AF55" s="2">
        <v>3</v>
      </c>
      <c r="AG55" s="2">
        <v>3</v>
      </c>
      <c r="AH55" s="4">
        <f t="shared" si="10"/>
        <v>3</v>
      </c>
      <c r="AI55" s="4">
        <f t="shared" si="11"/>
        <v>3</v>
      </c>
      <c r="AJ55" s="4">
        <f t="shared" si="12"/>
        <v>3</v>
      </c>
      <c r="AK55" s="4">
        <f t="shared" si="13"/>
        <v>3</v>
      </c>
      <c r="AL55">
        <f t="shared" si="5"/>
        <v>1.1</v>
      </c>
      <c r="AM55">
        <f t="shared" si="14"/>
        <v>3</v>
      </c>
      <c r="AN5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55">
        <f t="shared" si="6"/>
        <v>3</v>
      </c>
      <c r="AP55">
        <f>Form_Responses[[#This Row],[Emotional_Burden_Raw]]-(0.5*Form_Responses[[#This Row],[Protective_factor]])</f>
        <v>1.5</v>
      </c>
      <c r="AQ5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5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Row],[Treatment_Score]]+(0.032997*E55))</f>
        <v>2.7549055</v>
      </c>
      <c r="AS55" t="str">
        <f>IF(Form_Responses[[#This Row],[PCA_distress_index]]&lt;1.5,"Low",IF(Form_Responses[[#This Row],[PCA_distress_index]]&lt;2.7,"Moderate","High"))</f>
        <v>High</v>
      </c>
    </row>
    <row r="56" ht="22.5" customHeight="1" spans="1:45">
      <c r="A56" s="2" t="s">
        <v>45</v>
      </c>
      <c r="B56" s="2">
        <v>25</v>
      </c>
      <c r="C56" s="2">
        <v>0</v>
      </c>
      <c r="D56" s="2" t="s">
        <v>52</v>
      </c>
      <c r="E56" s="4">
        <f t="shared" si="9"/>
        <v>4</v>
      </c>
      <c r="F56" s="2">
        <v>1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1</v>
      </c>
      <c r="M56" s="2">
        <v>3</v>
      </c>
      <c r="N56" s="2">
        <v>3</v>
      </c>
      <c r="O56" s="2">
        <v>3</v>
      </c>
      <c r="P56" s="2">
        <v>2</v>
      </c>
      <c r="Q56" s="2">
        <v>2</v>
      </c>
      <c r="R56" s="2">
        <v>2</v>
      </c>
      <c r="S56" s="2">
        <v>2</v>
      </c>
      <c r="T56" s="2">
        <v>2</v>
      </c>
      <c r="U56" s="2">
        <v>2</v>
      </c>
      <c r="V56" s="2">
        <v>3</v>
      </c>
      <c r="W56" s="2">
        <v>2</v>
      </c>
      <c r="X56" s="2">
        <v>2</v>
      </c>
      <c r="Y56" s="2">
        <v>3</v>
      </c>
      <c r="Z56" s="2">
        <v>2</v>
      </c>
      <c r="AA56" s="2">
        <v>2</v>
      </c>
      <c r="AB56" s="2">
        <v>2</v>
      </c>
      <c r="AC56" s="2">
        <v>2</v>
      </c>
      <c r="AD56" s="2">
        <v>2</v>
      </c>
      <c r="AE56" s="2">
        <v>2</v>
      </c>
      <c r="AF56" s="2">
        <v>4</v>
      </c>
      <c r="AG56" s="2">
        <v>3</v>
      </c>
      <c r="AH56" s="4">
        <f t="shared" si="10"/>
        <v>2.5</v>
      </c>
      <c r="AI56" s="4">
        <f t="shared" si="11"/>
        <v>2.33333333333333</v>
      </c>
      <c r="AJ56" s="4">
        <f t="shared" si="12"/>
        <v>2</v>
      </c>
      <c r="AK56" s="4">
        <f t="shared" si="13"/>
        <v>2.66666666666667</v>
      </c>
      <c r="AL56">
        <f t="shared" si="5"/>
        <v>1.3</v>
      </c>
      <c r="AM56">
        <f t="shared" si="14"/>
        <v>2.75</v>
      </c>
      <c r="AN5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56">
        <f t="shared" si="6"/>
        <v>3.5</v>
      </c>
      <c r="AP56">
        <f>Form_Responses[[#This Row],[Emotional_Burden_Raw]]-(0.5*Form_Responses[[#This Row],[Protective_factor]])</f>
        <v>0.25</v>
      </c>
      <c r="AQ5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2.28571428571429</v>
      </c>
      <c r="AR5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Row],[Treatment_Score]]+(0.032997*E56))</f>
        <v>2.29963032142857</v>
      </c>
      <c r="AS56" t="str">
        <f>IF(Form_Responses[[#This Row],[PCA_distress_index]]&lt;1.5,"Low",IF(Form_Responses[[#This Row],[PCA_distress_index]]&lt;2.7,"Moderate","High"))</f>
        <v>Moderate</v>
      </c>
    </row>
    <row r="57" ht="22.5" customHeight="1" spans="1:45">
      <c r="A57" s="2" t="s">
        <v>45</v>
      </c>
      <c r="B57" s="2">
        <v>25</v>
      </c>
      <c r="C57" s="2">
        <v>0</v>
      </c>
      <c r="D57" s="2" t="s">
        <v>49</v>
      </c>
      <c r="E57" s="4">
        <f t="shared" si="9"/>
        <v>1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0</v>
      </c>
      <c r="L57" s="2">
        <v>1</v>
      </c>
      <c r="M57" s="2">
        <v>2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2">
        <v>3</v>
      </c>
      <c r="T57" s="2">
        <v>3</v>
      </c>
      <c r="U57" s="2">
        <v>3</v>
      </c>
      <c r="V57" s="2">
        <v>3</v>
      </c>
      <c r="W57" s="2">
        <v>2</v>
      </c>
      <c r="X57" s="2">
        <v>3</v>
      </c>
      <c r="Y57" s="2">
        <v>3</v>
      </c>
      <c r="Z57" s="2">
        <v>3</v>
      </c>
      <c r="AA57" s="2">
        <v>3</v>
      </c>
      <c r="AB57" s="2">
        <v>3</v>
      </c>
      <c r="AC57" s="2">
        <v>2</v>
      </c>
      <c r="AD57" s="2">
        <v>2</v>
      </c>
      <c r="AE57" s="2">
        <v>5</v>
      </c>
      <c r="AF57" s="2">
        <v>4</v>
      </c>
      <c r="AG57" s="2">
        <v>4</v>
      </c>
      <c r="AH57" s="4">
        <f t="shared" si="10"/>
        <v>3</v>
      </c>
      <c r="AI57" s="4">
        <f t="shared" si="11"/>
        <v>3</v>
      </c>
      <c r="AJ57" s="4">
        <f t="shared" si="12"/>
        <v>2.66666666666667</v>
      </c>
      <c r="AK57" s="4">
        <f t="shared" si="13"/>
        <v>2.33333333333333</v>
      </c>
      <c r="AL57">
        <f t="shared" si="5"/>
        <v>1.1</v>
      </c>
      <c r="AM57">
        <f t="shared" si="14"/>
        <v>2.5</v>
      </c>
      <c r="AN5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3.33333333333333</v>
      </c>
      <c r="AO57">
        <f t="shared" si="6"/>
        <v>4</v>
      </c>
      <c r="AP57">
        <f>Form_Responses[[#This Row],[Emotional_Burden_Raw]]-(0.5*Form_Responses[[#This Row],[Protective_factor]])</f>
        <v>1.33333333333333</v>
      </c>
      <c r="AQ5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5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Row],[Treatment_Score]]+(0.032997*E57))</f>
        <v>2.66103838095238</v>
      </c>
      <c r="AS57" t="str">
        <f>IF(Form_Responses[[#This Row],[PCA_distress_index]]&lt;1.5,"Low",IF(Form_Responses[[#This Row],[PCA_distress_index]]&lt;2.7,"Moderate","High"))</f>
        <v>Moderate</v>
      </c>
    </row>
    <row r="58" ht="22.5" customHeight="1" spans="1:45">
      <c r="A58" s="2" t="s">
        <v>45</v>
      </c>
      <c r="B58" s="2">
        <v>25</v>
      </c>
      <c r="C58" s="2">
        <v>1</v>
      </c>
      <c r="D58" s="2" t="s">
        <v>50</v>
      </c>
      <c r="E58" s="4">
        <f t="shared" si="9"/>
        <v>1</v>
      </c>
      <c r="F58" s="2">
        <v>1</v>
      </c>
      <c r="G58" s="2">
        <v>1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3</v>
      </c>
      <c r="N58" s="2">
        <v>2</v>
      </c>
      <c r="O58" s="2">
        <v>3</v>
      </c>
      <c r="P58" s="2">
        <v>3</v>
      </c>
      <c r="Q58" s="2">
        <v>2</v>
      </c>
      <c r="R58" s="2">
        <v>2</v>
      </c>
      <c r="S58" s="2">
        <v>2</v>
      </c>
      <c r="T58" s="2">
        <v>2</v>
      </c>
      <c r="U58" s="2">
        <v>2</v>
      </c>
      <c r="V58" s="2">
        <v>3</v>
      </c>
      <c r="W58" s="2">
        <v>2</v>
      </c>
      <c r="X58" s="2">
        <v>2</v>
      </c>
      <c r="Y58" s="2">
        <v>2</v>
      </c>
      <c r="Z58" s="2">
        <v>2</v>
      </c>
      <c r="AA58" s="2">
        <v>2</v>
      </c>
      <c r="AB58" s="2">
        <v>2</v>
      </c>
      <c r="AC58" s="2">
        <v>2</v>
      </c>
      <c r="AD58" s="2">
        <v>2</v>
      </c>
      <c r="AE58" s="2">
        <v>2</v>
      </c>
      <c r="AF58" s="2">
        <v>3</v>
      </c>
      <c r="AG58" s="2">
        <v>3</v>
      </c>
      <c r="AH58" s="4">
        <f t="shared" si="10"/>
        <v>2.5</v>
      </c>
      <c r="AI58" s="4">
        <f t="shared" si="11"/>
        <v>2.33333333333333</v>
      </c>
      <c r="AJ58" s="4">
        <f t="shared" si="12"/>
        <v>2</v>
      </c>
      <c r="AK58" s="4">
        <f t="shared" si="13"/>
        <v>2.66666666666667</v>
      </c>
      <c r="AL58">
        <f t="shared" si="5"/>
        <v>2</v>
      </c>
      <c r="AM58">
        <f t="shared" si="14"/>
        <v>2.5</v>
      </c>
      <c r="AN5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58">
        <f t="shared" si="6"/>
        <v>3</v>
      </c>
      <c r="AP58">
        <f>Form_Responses[[#This Row],[Emotional_Burden_Raw]]-(0.5*Form_Responses[[#This Row],[Protective_factor]])</f>
        <v>0.5</v>
      </c>
      <c r="AQ5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2.14285714285714</v>
      </c>
      <c r="AR5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Row],[Treatment_Score]]+(0.032997*E58))</f>
        <v>2.15119078571429</v>
      </c>
      <c r="AS58" t="str">
        <f>IF(Form_Responses[[#This Row],[PCA_distress_index]]&lt;1.5,"Low",IF(Form_Responses[[#This Row],[PCA_distress_index]]&lt;2.7,"Moderate","High"))</f>
        <v>Moderate</v>
      </c>
    </row>
    <row r="59" ht="22.5" customHeight="1" spans="1:45">
      <c r="A59" s="2" t="s">
        <v>45</v>
      </c>
      <c r="B59" s="2">
        <v>25</v>
      </c>
      <c r="C59" s="2">
        <v>0</v>
      </c>
      <c r="D59" s="2" t="s">
        <v>46</v>
      </c>
      <c r="E59" s="4">
        <f t="shared" si="9"/>
        <v>3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0</v>
      </c>
      <c r="L59" s="2">
        <v>1</v>
      </c>
      <c r="M59" s="2">
        <v>3</v>
      </c>
      <c r="N59" s="2">
        <v>2</v>
      </c>
      <c r="O59" s="2">
        <v>3</v>
      </c>
      <c r="P59" s="2">
        <v>3</v>
      </c>
      <c r="Q59" s="2">
        <v>3</v>
      </c>
      <c r="R59" s="2">
        <v>3</v>
      </c>
      <c r="S59" s="2">
        <v>3</v>
      </c>
      <c r="T59" s="2">
        <v>3</v>
      </c>
      <c r="U59" s="2">
        <v>2</v>
      </c>
      <c r="V59" s="2">
        <v>4</v>
      </c>
      <c r="W59" s="2">
        <v>4</v>
      </c>
      <c r="X59" s="2">
        <v>4</v>
      </c>
      <c r="Y59" s="2">
        <v>3</v>
      </c>
      <c r="Z59" s="2">
        <v>3</v>
      </c>
      <c r="AA59" s="2">
        <v>3</v>
      </c>
      <c r="AB59" s="2">
        <v>3</v>
      </c>
      <c r="AC59" s="2">
        <v>3</v>
      </c>
      <c r="AD59" s="2">
        <v>4</v>
      </c>
      <c r="AE59" s="2">
        <v>3</v>
      </c>
      <c r="AF59" s="2">
        <v>3</v>
      </c>
      <c r="AG59" s="2">
        <v>2</v>
      </c>
      <c r="AH59" s="4">
        <f t="shared" si="10"/>
        <v>3</v>
      </c>
      <c r="AI59" s="4">
        <f t="shared" si="11"/>
        <v>3</v>
      </c>
      <c r="AJ59" s="4">
        <f t="shared" si="12"/>
        <v>3.33333333333333</v>
      </c>
      <c r="AK59" s="4">
        <f t="shared" si="13"/>
        <v>3.33333333333333</v>
      </c>
      <c r="AL59">
        <f t="shared" si="5"/>
        <v>1.1</v>
      </c>
      <c r="AM59">
        <f t="shared" si="14"/>
        <v>3</v>
      </c>
      <c r="AN5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59">
        <f t="shared" si="6"/>
        <v>2.5</v>
      </c>
      <c r="AP59">
        <f>Form_Responses[[#This Row],[Emotional_Burden_Raw]]-(0.5*Form_Responses[[#This Row],[Protective_factor]])</f>
        <v>1.75</v>
      </c>
      <c r="AQ5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5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Row],[Treatment_Score]]+(0.032997*E59))</f>
        <v>2.91426407142857</v>
      </c>
      <c r="AS59" t="str">
        <f>IF(Form_Responses[[#This Row],[PCA_distress_index]]&lt;1.5,"Low",IF(Form_Responses[[#This Row],[PCA_distress_index]]&lt;2.7,"Moderate","High"))</f>
        <v>High</v>
      </c>
    </row>
    <row r="60" ht="22.5" customHeight="1" spans="1:45">
      <c r="A60" s="2" t="s">
        <v>45</v>
      </c>
      <c r="B60" s="2">
        <v>25</v>
      </c>
      <c r="C60" s="2">
        <v>0</v>
      </c>
      <c r="D60" s="2" t="s">
        <v>46</v>
      </c>
      <c r="E60" s="4">
        <f t="shared" si="9"/>
        <v>3</v>
      </c>
      <c r="F60" s="2">
        <v>1</v>
      </c>
      <c r="G60" s="2">
        <v>1</v>
      </c>
      <c r="H60" s="2">
        <v>0</v>
      </c>
      <c r="I60" s="2">
        <v>0</v>
      </c>
      <c r="J60" s="2">
        <v>1</v>
      </c>
      <c r="K60" s="2">
        <v>0</v>
      </c>
      <c r="L60" s="2">
        <v>1</v>
      </c>
      <c r="M60" s="2">
        <v>2</v>
      </c>
      <c r="N60" s="2">
        <v>3</v>
      </c>
      <c r="O60" s="2">
        <v>3</v>
      </c>
      <c r="P60" s="2">
        <v>3</v>
      </c>
      <c r="Q60" s="2">
        <v>2</v>
      </c>
      <c r="R60" s="2">
        <v>2</v>
      </c>
      <c r="S60" s="2">
        <v>3</v>
      </c>
      <c r="T60" s="2">
        <v>3</v>
      </c>
      <c r="U60" s="2">
        <v>3</v>
      </c>
      <c r="V60" s="2">
        <v>4</v>
      </c>
      <c r="W60" s="2">
        <v>4</v>
      </c>
      <c r="X60" s="2">
        <v>4</v>
      </c>
      <c r="Y60" s="2">
        <v>4</v>
      </c>
      <c r="Z60" s="2">
        <v>4</v>
      </c>
      <c r="AA60" s="2">
        <v>4</v>
      </c>
      <c r="AB60" s="2">
        <v>4</v>
      </c>
      <c r="AC60" s="2">
        <v>2</v>
      </c>
      <c r="AD60" s="2">
        <v>3</v>
      </c>
      <c r="AE60" s="2">
        <v>3</v>
      </c>
      <c r="AF60" s="2">
        <v>3</v>
      </c>
      <c r="AG60" s="2">
        <v>3</v>
      </c>
      <c r="AH60" s="4">
        <f t="shared" si="10"/>
        <v>3.5</v>
      </c>
      <c r="AI60" s="4">
        <f t="shared" si="11"/>
        <v>3.66666666666667</v>
      </c>
      <c r="AJ60" s="4">
        <f t="shared" si="12"/>
        <v>3</v>
      </c>
      <c r="AK60" s="4">
        <f t="shared" si="13"/>
        <v>2.66666666666667</v>
      </c>
      <c r="AL60">
        <f t="shared" si="5"/>
        <v>3.1</v>
      </c>
      <c r="AM60">
        <f t="shared" si="14"/>
        <v>2.75</v>
      </c>
      <c r="AN6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60">
        <f t="shared" si="6"/>
        <v>3</v>
      </c>
      <c r="AP60">
        <f>Form_Responses[[#This Row],[Emotional_Burden_Raw]]-(0.5*Form_Responses[[#This Row],[Protective_factor]])</f>
        <v>1.33333333333333</v>
      </c>
      <c r="AQ6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3.85714285714286</v>
      </c>
      <c r="AR6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Row],[Treatment_Score]]+(0.032997*E60))</f>
        <v>3.17561213095238</v>
      </c>
      <c r="AS60" t="str">
        <f>IF(Form_Responses[[#This Row],[PCA_distress_index]]&lt;1.5,"Low",IF(Form_Responses[[#This Row],[PCA_distress_index]]&lt;2.7,"Moderate","High"))</f>
        <v>High</v>
      </c>
    </row>
    <row r="61" ht="22.5" customHeight="1" spans="1:45">
      <c r="A61" s="2" t="s">
        <v>45</v>
      </c>
      <c r="B61" s="2">
        <v>25</v>
      </c>
      <c r="C61" s="2">
        <v>0</v>
      </c>
      <c r="D61" s="2" t="s">
        <v>52</v>
      </c>
      <c r="E61" s="4">
        <f t="shared" si="9"/>
        <v>4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1</v>
      </c>
      <c r="M61" s="2">
        <v>2</v>
      </c>
      <c r="N61" s="2">
        <v>2</v>
      </c>
      <c r="O61" s="2">
        <v>2</v>
      </c>
      <c r="P61" s="2">
        <v>2</v>
      </c>
      <c r="Q61" s="2">
        <v>3</v>
      </c>
      <c r="R61" s="2">
        <v>3</v>
      </c>
      <c r="S61" s="2">
        <v>3</v>
      </c>
      <c r="T61" s="2">
        <v>4</v>
      </c>
      <c r="U61" s="2">
        <v>3</v>
      </c>
      <c r="V61" s="2">
        <v>4</v>
      </c>
      <c r="W61" s="2">
        <v>4</v>
      </c>
      <c r="X61" s="2">
        <v>3</v>
      </c>
      <c r="Y61" s="2">
        <v>3</v>
      </c>
      <c r="Z61" s="2">
        <v>3</v>
      </c>
      <c r="AA61" s="2">
        <v>4</v>
      </c>
      <c r="AB61" s="2">
        <v>4</v>
      </c>
      <c r="AC61" s="2">
        <v>3</v>
      </c>
      <c r="AD61" s="2">
        <v>1</v>
      </c>
      <c r="AE61" s="2">
        <v>5</v>
      </c>
      <c r="AF61" s="2">
        <v>5</v>
      </c>
      <c r="AG61" s="2">
        <v>5</v>
      </c>
      <c r="AH61" s="4">
        <f t="shared" si="10"/>
        <v>2.5</v>
      </c>
      <c r="AI61" s="4">
        <f t="shared" si="11"/>
        <v>3.66666666666667</v>
      </c>
      <c r="AJ61" s="4">
        <f t="shared" si="12"/>
        <v>3.66666666666667</v>
      </c>
      <c r="AK61" s="4">
        <f t="shared" si="13"/>
        <v>1.66666666666667</v>
      </c>
      <c r="AL61">
        <f t="shared" si="5"/>
        <v>1.1</v>
      </c>
      <c r="AM61">
        <f t="shared" si="14"/>
        <v>1.75</v>
      </c>
      <c r="AN6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3.66666666666667</v>
      </c>
      <c r="AO61">
        <f t="shared" si="6"/>
        <v>5</v>
      </c>
      <c r="AP61">
        <f>Form_Responses[[#This Row],[Emotional_Burden_Raw]]-(0.5*Form_Responses[[#This Row],[Protective_factor]])</f>
        <v>1.16666666666667</v>
      </c>
      <c r="AQ6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3.42857142857143</v>
      </c>
      <c r="AR6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Row],[Treatment_Score]]+(0.032997*E61))</f>
        <v>2.83082194047619</v>
      </c>
      <c r="AS61" t="str">
        <f>IF(Form_Responses[[#This Row],[PCA_distress_index]]&lt;1.5,"Low",IF(Form_Responses[[#This Row],[PCA_distress_index]]&lt;2.7,"Moderate","High"))</f>
        <v>High</v>
      </c>
    </row>
    <row r="62" ht="22.5" customHeight="1" spans="1:45">
      <c r="A62" s="2" t="s">
        <v>45</v>
      </c>
      <c r="B62" s="2">
        <v>25</v>
      </c>
      <c r="C62" s="2">
        <v>1</v>
      </c>
      <c r="D62" s="2" t="s">
        <v>49</v>
      </c>
      <c r="E62" s="4">
        <f t="shared" si="9"/>
        <v>1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1</v>
      </c>
      <c r="M62" s="2">
        <v>3</v>
      </c>
      <c r="N62" s="2">
        <v>1</v>
      </c>
      <c r="O62" s="2">
        <v>2</v>
      </c>
      <c r="P62" s="2">
        <v>3</v>
      </c>
      <c r="Q62" s="2">
        <v>4</v>
      </c>
      <c r="R62" s="2">
        <v>4</v>
      </c>
      <c r="S62" s="2">
        <v>2</v>
      </c>
      <c r="T62" s="2">
        <v>2</v>
      </c>
      <c r="U62" s="2">
        <v>3</v>
      </c>
      <c r="V62" s="2">
        <v>3</v>
      </c>
      <c r="W62" s="2">
        <v>3</v>
      </c>
      <c r="X62" s="2">
        <v>3</v>
      </c>
      <c r="Y62" s="2">
        <v>3</v>
      </c>
      <c r="Z62" s="2">
        <v>3</v>
      </c>
      <c r="AA62" s="2">
        <v>3</v>
      </c>
      <c r="AB62" s="2">
        <v>4</v>
      </c>
      <c r="AC62" s="2">
        <v>4</v>
      </c>
      <c r="AD62" s="2">
        <v>3</v>
      </c>
      <c r="AE62" s="2">
        <v>3</v>
      </c>
      <c r="AF62" s="2">
        <v>3</v>
      </c>
      <c r="AG62" s="2">
        <v>4</v>
      </c>
      <c r="AH62" s="4">
        <f t="shared" si="10"/>
        <v>3</v>
      </c>
      <c r="AI62" s="4">
        <f t="shared" si="11"/>
        <v>3</v>
      </c>
      <c r="AJ62" s="4">
        <f t="shared" si="12"/>
        <v>3</v>
      </c>
      <c r="AK62" s="4">
        <f t="shared" si="13"/>
        <v>2.66666666666667</v>
      </c>
      <c r="AL62">
        <f t="shared" si="5"/>
        <v>0</v>
      </c>
      <c r="AM62">
        <f t="shared" si="14"/>
        <v>2.25</v>
      </c>
      <c r="AN6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62">
        <f t="shared" si="6"/>
        <v>3.5</v>
      </c>
      <c r="AP62">
        <f>Form_Responses[[#This Row],[Emotional_Burden_Raw]]-(0.5*Form_Responses[[#This Row],[Protective_factor]])</f>
        <v>1.41666666666667</v>
      </c>
      <c r="AQ6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6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Row],[Treatment_Score]]+(0.032997*E62))</f>
        <v>2.49011808333333</v>
      </c>
      <c r="AS62" t="str">
        <f>IF(Form_Responses[[#This Row],[PCA_distress_index]]&lt;1.5,"Low",IF(Form_Responses[[#This Row],[PCA_distress_index]]&lt;2.7,"Moderate","High"))</f>
        <v>Moderate</v>
      </c>
    </row>
    <row r="63" ht="22.5" customHeight="1" spans="1:45">
      <c r="A63" s="2" t="s">
        <v>45</v>
      </c>
      <c r="B63" s="2">
        <v>25</v>
      </c>
      <c r="C63" s="2">
        <v>1</v>
      </c>
      <c r="D63" s="2" t="s">
        <v>49</v>
      </c>
      <c r="E63" s="4">
        <f t="shared" si="9"/>
        <v>1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1</v>
      </c>
      <c r="M63" s="2">
        <v>3</v>
      </c>
      <c r="N63" s="2">
        <v>2</v>
      </c>
      <c r="O63" s="2">
        <v>1</v>
      </c>
      <c r="P63" s="2">
        <v>2</v>
      </c>
      <c r="Q63" s="2">
        <v>2</v>
      </c>
      <c r="R63" s="2">
        <v>1</v>
      </c>
      <c r="S63" s="2">
        <v>2</v>
      </c>
      <c r="T63" s="2">
        <v>3</v>
      </c>
      <c r="U63" s="2">
        <v>2</v>
      </c>
      <c r="V63" s="2">
        <v>2</v>
      </c>
      <c r="W63" s="2">
        <v>3</v>
      </c>
      <c r="X63" s="2">
        <v>1</v>
      </c>
      <c r="Y63" s="2">
        <v>2</v>
      </c>
      <c r="Z63" s="2">
        <v>1</v>
      </c>
      <c r="AA63" s="2">
        <v>2</v>
      </c>
      <c r="AB63" s="2">
        <v>2</v>
      </c>
      <c r="AC63" s="2">
        <v>1</v>
      </c>
      <c r="AD63" s="2">
        <v>1</v>
      </c>
      <c r="AE63" s="2">
        <v>2</v>
      </c>
      <c r="AF63" s="2">
        <v>1</v>
      </c>
      <c r="AG63" s="2">
        <v>3</v>
      </c>
      <c r="AH63" s="4">
        <f t="shared" si="10"/>
        <v>2</v>
      </c>
      <c r="AI63" s="4">
        <f t="shared" si="11"/>
        <v>2</v>
      </c>
      <c r="AJ63" s="4">
        <f t="shared" si="12"/>
        <v>2.66666666666667</v>
      </c>
      <c r="AK63" s="4">
        <f t="shared" si="13"/>
        <v>1.66666666666667</v>
      </c>
      <c r="AL63">
        <f t="shared" si="5"/>
        <v>1.3</v>
      </c>
      <c r="AM63">
        <f t="shared" si="14"/>
        <v>1.75</v>
      </c>
      <c r="AN6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63">
        <f t="shared" si="6"/>
        <v>2</v>
      </c>
      <c r="AP63">
        <f>Form_Responses[[#This Row],[Emotional_Burden_Raw]]-(0.5*Form_Responses[[#This Row],[Protective_factor]])</f>
        <v>1</v>
      </c>
      <c r="AQ6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1.85714285714286</v>
      </c>
      <c r="AR6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Row],[Treatment_Score]]+(0.032997*E63))</f>
        <v>1.78558546428571</v>
      </c>
      <c r="AS63" t="str">
        <f>IF(Form_Responses[[#This Row],[PCA_distress_index]]&lt;1.5,"Low",IF(Form_Responses[[#This Row],[PCA_distress_index]]&lt;2.7,"Moderate","High"))</f>
        <v>Moderate</v>
      </c>
    </row>
    <row r="64" ht="22.5" customHeight="1" spans="1:45">
      <c r="A64" s="2" t="s">
        <v>45</v>
      </c>
      <c r="B64" s="2">
        <v>25</v>
      </c>
      <c r="C64" s="2">
        <v>1</v>
      </c>
      <c r="D64" s="2" t="s">
        <v>53</v>
      </c>
      <c r="E64" s="4">
        <f t="shared" si="9"/>
        <v>5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4</v>
      </c>
      <c r="N64" s="2">
        <v>5</v>
      </c>
      <c r="O64" s="2">
        <v>5</v>
      </c>
      <c r="P64" s="2">
        <v>3</v>
      </c>
      <c r="Q64" s="2">
        <v>2</v>
      </c>
      <c r="R64" s="2">
        <v>2</v>
      </c>
      <c r="S64" s="2">
        <v>2</v>
      </c>
      <c r="T64" s="2">
        <v>2</v>
      </c>
      <c r="U64" s="2">
        <v>2</v>
      </c>
      <c r="V64" s="2">
        <v>2</v>
      </c>
      <c r="W64" s="2">
        <v>2</v>
      </c>
      <c r="X64" s="2">
        <v>2</v>
      </c>
      <c r="Y64" s="2">
        <v>2</v>
      </c>
      <c r="Z64" s="2">
        <v>2</v>
      </c>
      <c r="AA64" s="2">
        <v>2</v>
      </c>
      <c r="AB64" s="2">
        <v>2</v>
      </c>
      <c r="AC64" s="2">
        <v>2</v>
      </c>
      <c r="AD64" s="2">
        <v>2</v>
      </c>
      <c r="AE64" s="2">
        <v>2</v>
      </c>
      <c r="AF64" s="2">
        <v>2</v>
      </c>
      <c r="AG64" s="2">
        <v>2</v>
      </c>
      <c r="AH64" s="4">
        <f t="shared" si="10"/>
        <v>2.5</v>
      </c>
      <c r="AI64" s="4">
        <f t="shared" si="11"/>
        <v>2</v>
      </c>
      <c r="AJ64" s="4">
        <f t="shared" si="12"/>
        <v>2</v>
      </c>
      <c r="AK64" s="4">
        <f t="shared" si="13"/>
        <v>3.66666666666667</v>
      </c>
      <c r="AL64">
        <f t="shared" si="5"/>
        <v>1.3</v>
      </c>
      <c r="AM64">
        <f t="shared" si="14"/>
        <v>4</v>
      </c>
      <c r="AN6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64">
        <f t="shared" si="6"/>
        <v>2</v>
      </c>
      <c r="AP64">
        <f>Form_Responses[[#This Row],[Emotional_Burden_Raw]]-(0.5*Form_Responses[[#This Row],[Protective_factor]])</f>
        <v>1</v>
      </c>
      <c r="AQ6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</v>
      </c>
      <c r="AR6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Row],[Treatment_Score]]+(0.032997*E64))</f>
        <v>2.5830215</v>
      </c>
      <c r="AS64" t="str">
        <f>IF(Form_Responses[[#This Row],[PCA_distress_index]]&lt;1.5,"Low",IF(Form_Responses[[#This Row],[PCA_distress_index]]&lt;2.7,"Moderate","High"))</f>
        <v>Moderate</v>
      </c>
    </row>
    <row r="65" ht="22.5" customHeight="1" spans="1:45">
      <c r="A65" s="2" t="s">
        <v>45</v>
      </c>
      <c r="B65" s="2">
        <v>45</v>
      </c>
      <c r="C65" s="2">
        <v>1</v>
      </c>
      <c r="D65" s="2" t="s">
        <v>50</v>
      </c>
      <c r="E65" s="4">
        <f t="shared" si="9"/>
        <v>1</v>
      </c>
      <c r="F65" s="2">
        <v>0</v>
      </c>
      <c r="G65" s="2">
        <v>0</v>
      </c>
      <c r="H65" s="2">
        <v>1</v>
      </c>
      <c r="I65" s="2">
        <v>0</v>
      </c>
      <c r="J65" s="2">
        <v>0</v>
      </c>
      <c r="K65" s="2">
        <v>0</v>
      </c>
      <c r="L65" s="2">
        <v>1</v>
      </c>
      <c r="M65" s="2">
        <v>2</v>
      </c>
      <c r="N65" s="2">
        <v>4</v>
      </c>
      <c r="O65" s="2">
        <v>1</v>
      </c>
      <c r="P65" s="2">
        <v>2</v>
      </c>
      <c r="Q65" s="2">
        <v>3</v>
      </c>
      <c r="R65" s="2">
        <v>2</v>
      </c>
      <c r="S65" s="2">
        <v>4</v>
      </c>
      <c r="T65" s="2">
        <v>3</v>
      </c>
      <c r="U65" s="2">
        <v>4</v>
      </c>
      <c r="V65" s="2">
        <v>5</v>
      </c>
      <c r="W65" s="2">
        <v>3</v>
      </c>
      <c r="X65" s="2">
        <v>3</v>
      </c>
      <c r="Y65" s="2">
        <v>3</v>
      </c>
      <c r="Z65" s="2">
        <v>2</v>
      </c>
      <c r="AA65" s="2">
        <v>3</v>
      </c>
      <c r="AB65" s="2">
        <v>3</v>
      </c>
      <c r="AC65" s="2">
        <v>3</v>
      </c>
      <c r="AD65" s="2">
        <v>3</v>
      </c>
      <c r="AE65" s="2">
        <v>2</v>
      </c>
      <c r="AF65" s="2">
        <v>3</v>
      </c>
      <c r="AG65" s="2">
        <v>3</v>
      </c>
      <c r="AH65" s="4">
        <f t="shared" si="10"/>
        <v>2.5</v>
      </c>
      <c r="AI65" s="4">
        <f t="shared" si="11"/>
        <v>4</v>
      </c>
      <c r="AJ65" s="4">
        <f t="shared" si="12"/>
        <v>3</v>
      </c>
      <c r="AK65" s="4">
        <f t="shared" si="13"/>
        <v>2</v>
      </c>
      <c r="AL65">
        <f t="shared" si="5"/>
        <v>1</v>
      </c>
      <c r="AM65">
        <f t="shared" si="14"/>
        <v>2.5</v>
      </c>
      <c r="AN6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65">
        <f t="shared" si="6"/>
        <v>3</v>
      </c>
      <c r="AP65">
        <f>Form_Responses[[#This Row],[Emotional_Burden_Raw]]-(0.5*Form_Responses[[#This Row],[Protective_factor]])</f>
        <v>1.33333333333333</v>
      </c>
      <c r="AQ6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6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Row],[Treatment_Score]]+(0.032997*E65))</f>
        <v>2.65618073809524</v>
      </c>
      <c r="AS65" t="str">
        <f>IF(Form_Responses[[#This Row],[PCA_distress_index]]&lt;1.5,"Low",IF(Form_Responses[[#This Row],[PCA_distress_index]]&lt;2.7,"Moderate","High"))</f>
        <v>Moderate</v>
      </c>
    </row>
    <row r="66" ht="22.5" customHeight="1" spans="1:45">
      <c r="A66" s="2" t="s">
        <v>45</v>
      </c>
      <c r="B66" s="2">
        <v>25</v>
      </c>
      <c r="C66" s="2">
        <v>1</v>
      </c>
      <c r="D66" s="2" t="s">
        <v>52</v>
      </c>
      <c r="E66" s="4">
        <f t="shared" ref="E66:E104" si="15">IF(OR(D66="Blood_Cancer",D66="Leukemia",D66="Lymphoma",D66="Brain_Cancer",D66="Pancreatic_Cancer"),5,IF(OR(D66="Lung_Cancer",D66="Liver_ Cancer",D66="Stomach_Cancer",D66="Ovarian_Cancer"),4,IF(OR(D66="Cervical_Cancer",D66="Colorectal_Cancer",D66="Head_and_Neck Cancer"),3,IF(OR(D66="Breast_ Cancer",D66="Prostate_Cancer"),2,1))))</f>
        <v>4</v>
      </c>
      <c r="F66" s="2">
        <v>1</v>
      </c>
      <c r="G66" s="2">
        <v>0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  <c r="M66" s="2">
        <v>3</v>
      </c>
      <c r="N66" s="2">
        <v>2</v>
      </c>
      <c r="O66" s="2">
        <v>3</v>
      </c>
      <c r="P66" s="2">
        <v>2</v>
      </c>
      <c r="Q66" s="2">
        <v>1</v>
      </c>
      <c r="R66" s="2">
        <v>3</v>
      </c>
      <c r="S66" s="2">
        <v>2</v>
      </c>
      <c r="T66" s="2">
        <v>2</v>
      </c>
      <c r="U66" s="2">
        <v>1</v>
      </c>
      <c r="V66" s="2">
        <v>4</v>
      </c>
      <c r="W66" s="2">
        <v>4</v>
      </c>
      <c r="X66" s="2">
        <v>2</v>
      </c>
      <c r="Y66" s="2">
        <v>2</v>
      </c>
      <c r="Z66" s="2">
        <v>4</v>
      </c>
      <c r="AA66" s="2">
        <v>3</v>
      </c>
      <c r="AB66" s="2">
        <v>4</v>
      </c>
      <c r="AC66" s="2">
        <v>2</v>
      </c>
      <c r="AD66" s="2">
        <v>3</v>
      </c>
      <c r="AE66" s="2">
        <v>3</v>
      </c>
      <c r="AF66" s="2">
        <v>4</v>
      </c>
      <c r="AG66" s="2">
        <v>4</v>
      </c>
      <c r="AH66" s="4">
        <f t="shared" ref="AH66:AH97" si="16">AVERAGE(Y66,P66)</f>
        <v>2</v>
      </c>
      <c r="AI66" s="4">
        <f t="shared" ref="AI66:AI97" si="17">AVERAGE(U66,V66,AA66)</f>
        <v>2.66666666666667</v>
      </c>
      <c r="AJ66" s="4">
        <f t="shared" ref="AJ66:AJ97" si="18">AVERAGE(T66,Q66,W66)</f>
        <v>2.33333333333333</v>
      </c>
      <c r="AK66" s="4">
        <f t="shared" ref="AK66:AK97" si="19">AVERAGE(M66,O66,AD66)</f>
        <v>3</v>
      </c>
      <c r="AL66">
        <f>(1.3*F66)+(0.7*G66)+(1*H66)+(1.2*I66)+(1.1*J66)+(0.5*K66)</f>
        <v>2.4</v>
      </c>
      <c r="AM66">
        <f t="shared" si="14"/>
        <v>2.75</v>
      </c>
      <c r="AN6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2.5</v>
      </c>
      <c r="AO66">
        <f>AVERAGE(AF66,AG66)</f>
        <v>4</v>
      </c>
      <c r="AP66">
        <f>Form_Responses[[#This Row],[Emotional_Burden_Raw]]-(0.5*Form_Responses[[#This Row],[Protective_factor]])</f>
        <v>0.5</v>
      </c>
      <c r="AQ6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2.85714285714286</v>
      </c>
      <c r="AR6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Row],[Treatment_Score]]+(0.032997*E66))</f>
        <v>2.72552896428571</v>
      </c>
      <c r="AS66" t="str">
        <f>IF(Form_Responses[[#This Row],[PCA_distress_index]]&lt;1.5,"Low",IF(Form_Responses[[#This Row],[PCA_distress_index]]&lt;2.7,"Moderate","High"))</f>
        <v>High</v>
      </c>
    </row>
    <row r="67" ht="22.5" customHeight="1" spans="1:45">
      <c r="A67" s="2" t="s">
        <v>45</v>
      </c>
      <c r="B67" s="2">
        <v>25</v>
      </c>
      <c r="C67" s="2">
        <v>0</v>
      </c>
      <c r="D67" s="2" t="s">
        <v>61</v>
      </c>
      <c r="E67" s="4">
        <f t="shared" si="15"/>
        <v>1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5</v>
      </c>
      <c r="N67" s="2">
        <v>5</v>
      </c>
      <c r="O67" s="2">
        <v>5</v>
      </c>
      <c r="P67" s="2">
        <v>4</v>
      </c>
      <c r="Q67" s="2">
        <v>4</v>
      </c>
      <c r="R67" s="2">
        <v>1</v>
      </c>
      <c r="S67" s="2">
        <v>3</v>
      </c>
      <c r="T67" s="2">
        <v>2</v>
      </c>
      <c r="U67" s="2">
        <v>1</v>
      </c>
      <c r="V67" s="2">
        <v>4</v>
      </c>
      <c r="W67" s="2">
        <v>3</v>
      </c>
      <c r="X67" s="2">
        <v>1</v>
      </c>
      <c r="Y67" s="2">
        <v>5</v>
      </c>
      <c r="Z67" s="2">
        <v>1</v>
      </c>
      <c r="AA67" s="2">
        <v>3</v>
      </c>
      <c r="AB67" s="2">
        <v>5</v>
      </c>
      <c r="AC67" s="2">
        <v>1</v>
      </c>
      <c r="AD67" s="2">
        <v>5</v>
      </c>
      <c r="AE67" s="2">
        <v>1</v>
      </c>
      <c r="AF67" s="2">
        <v>5</v>
      </c>
      <c r="AG67" s="2">
        <v>5</v>
      </c>
      <c r="AH67" s="4">
        <f t="shared" si="16"/>
        <v>4.5</v>
      </c>
      <c r="AI67" s="4">
        <f t="shared" si="17"/>
        <v>2.66666666666667</v>
      </c>
      <c r="AJ67" s="4">
        <f t="shared" si="18"/>
        <v>3</v>
      </c>
      <c r="AK67" s="4">
        <f t="shared" si="19"/>
        <v>5</v>
      </c>
      <c r="AL67">
        <f t="shared" ref="AL67:AL96" si="20">(1.3*F67)+(0.7*G67)+(1*H67)+(1.2*I67)+(1.1*J67)+(0.5*K67)</f>
        <v>1.3</v>
      </c>
      <c r="AM67">
        <f t="shared" ref="AM67:AM87" si="21">AVERAGE(M67,N67,O67,AD67)</f>
        <v>5</v>
      </c>
      <c r="AN6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67">
        <f t="shared" ref="AO67:AO96" si="22">AVERAGE(AF67,AG67)</f>
        <v>5</v>
      </c>
      <c r="AP67">
        <f>Form_Responses[[#This Row],[Emotional_Burden_Raw]]-(0.5*Form_Responses[[#This Row],[Protective_factor]])</f>
        <v>0.166666666666667</v>
      </c>
      <c r="AQ6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2.57142857142857</v>
      </c>
      <c r="AR6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Row],[Treatment_Score]]+(0.032997*E67))</f>
        <v>3.09340697619048</v>
      </c>
      <c r="AS67" t="str">
        <f>IF(Form_Responses[[#This Row],[PCA_distress_index]]&lt;1.5,"Low",IF(Form_Responses[[#This Row],[PCA_distress_index]]&lt;2.7,"Moderate","High"))</f>
        <v>High</v>
      </c>
    </row>
    <row r="68" ht="22.5" customHeight="1" spans="1:45">
      <c r="A68" s="2" t="s">
        <v>45</v>
      </c>
      <c r="B68" s="2">
        <v>25</v>
      </c>
      <c r="C68" s="2">
        <v>0</v>
      </c>
      <c r="D68" s="2" t="s">
        <v>50</v>
      </c>
      <c r="E68" s="4">
        <f t="shared" si="15"/>
        <v>1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  <c r="M68" s="2">
        <v>2</v>
      </c>
      <c r="N68" s="2">
        <v>1</v>
      </c>
      <c r="O68" s="2">
        <v>3</v>
      </c>
      <c r="P68" s="2">
        <v>2</v>
      </c>
      <c r="Q68" s="2">
        <v>3</v>
      </c>
      <c r="R68" s="2">
        <v>3</v>
      </c>
      <c r="S68" s="2">
        <v>3</v>
      </c>
      <c r="T68" s="2">
        <v>1</v>
      </c>
      <c r="U68" s="2">
        <v>2</v>
      </c>
      <c r="V68" s="2">
        <v>2</v>
      </c>
      <c r="W68" s="2">
        <v>3</v>
      </c>
      <c r="X68" s="2">
        <v>2</v>
      </c>
      <c r="Y68" s="2">
        <v>4</v>
      </c>
      <c r="Z68" s="2">
        <v>1</v>
      </c>
      <c r="AA68" s="2">
        <v>2</v>
      </c>
      <c r="AB68" s="2">
        <v>2</v>
      </c>
      <c r="AC68" s="2">
        <v>3</v>
      </c>
      <c r="AD68" s="2">
        <v>2</v>
      </c>
      <c r="AE68" s="2">
        <v>3</v>
      </c>
      <c r="AF68" s="2">
        <v>3</v>
      </c>
      <c r="AG68" s="2">
        <v>1</v>
      </c>
      <c r="AH68" s="4">
        <f t="shared" si="16"/>
        <v>3</v>
      </c>
      <c r="AI68" s="4">
        <f t="shared" si="17"/>
        <v>2</v>
      </c>
      <c r="AJ68" s="4">
        <f t="shared" si="18"/>
        <v>2.33333333333333</v>
      </c>
      <c r="AK68" s="4">
        <f t="shared" si="19"/>
        <v>2.33333333333333</v>
      </c>
      <c r="AL68">
        <f t="shared" si="20"/>
        <v>1</v>
      </c>
      <c r="AM68">
        <f t="shared" si="21"/>
        <v>2</v>
      </c>
      <c r="AN6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2.5</v>
      </c>
      <c r="AO68">
        <f t="shared" si="22"/>
        <v>2</v>
      </c>
      <c r="AP68">
        <f>Form_Responses[[#This Row],[Emotional_Burden_Raw]]-(0.5*Form_Responses[[#This Row],[Protective_factor]])</f>
        <v>1.5</v>
      </c>
      <c r="AQ6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2.28571428571429</v>
      </c>
      <c r="AR6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Row],[Treatment_Score]]+(0.032997*E68))</f>
        <v>2.10158257142857</v>
      </c>
      <c r="AS68" t="str">
        <f>IF(Form_Responses[[#This Row],[PCA_distress_index]]&lt;1.5,"Low",IF(Form_Responses[[#This Row],[PCA_distress_index]]&lt;2.7,"Moderate","High"))</f>
        <v>Moderate</v>
      </c>
    </row>
    <row r="69" ht="22.5" customHeight="1" spans="1:45">
      <c r="A69" s="2" t="s">
        <v>45</v>
      </c>
      <c r="B69" s="2">
        <v>25</v>
      </c>
      <c r="C69" s="2">
        <v>1</v>
      </c>
      <c r="D69" s="2" t="s">
        <v>52</v>
      </c>
      <c r="E69" s="4">
        <f t="shared" si="15"/>
        <v>4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3</v>
      </c>
      <c r="N69" s="2">
        <v>2</v>
      </c>
      <c r="O69" s="2">
        <v>2</v>
      </c>
      <c r="P69" s="2">
        <v>1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2</v>
      </c>
      <c r="W69" s="2">
        <v>1</v>
      </c>
      <c r="X69" s="2">
        <v>1</v>
      </c>
      <c r="Y69" s="2">
        <v>2</v>
      </c>
      <c r="Z69" s="2">
        <v>2</v>
      </c>
      <c r="AA69" s="2">
        <v>5</v>
      </c>
      <c r="AB69" s="2">
        <v>1</v>
      </c>
      <c r="AC69" s="2">
        <v>4</v>
      </c>
      <c r="AD69" s="2">
        <v>2</v>
      </c>
      <c r="AE69" s="2">
        <v>2</v>
      </c>
      <c r="AF69" s="2">
        <v>3</v>
      </c>
      <c r="AG69" s="2">
        <v>5</v>
      </c>
      <c r="AH69" s="4">
        <f t="shared" si="16"/>
        <v>1.5</v>
      </c>
      <c r="AI69" s="4">
        <f t="shared" si="17"/>
        <v>2.66666666666667</v>
      </c>
      <c r="AJ69" s="4">
        <f t="shared" si="18"/>
        <v>1</v>
      </c>
      <c r="AK69" s="4">
        <f t="shared" si="19"/>
        <v>2.33333333333333</v>
      </c>
      <c r="AL69">
        <f t="shared" si="20"/>
        <v>0</v>
      </c>
      <c r="AM69">
        <f t="shared" si="21"/>
        <v>2.25</v>
      </c>
      <c r="AN6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1.16666666666667</v>
      </c>
      <c r="AO69">
        <f t="shared" si="22"/>
        <v>4</v>
      </c>
      <c r="AP69">
        <f>Form_Responses[[#This Row],[Emotional_Burden_Raw]]-(0.5*Form_Responses[[#This Row],[Protective_factor]])</f>
        <v>-0.833333333333333</v>
      </c>
      <c r="AQ6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</v>
      </c>
      <c r="AR6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Row],[Treatment_Score]]+(0.032997*E69))</f>
        <v>1.72042108333333</v>
      </c>
      <c r="AS69" t="str">
        <f>IF(Form_Responses[[#This Row],[PCA_distress_index]]&lt;1.5,"Low",IF(Form_Responses[[#This Row],[PCA_distress_index]]&lt;2.7,"Moderate","High"))</f>
        <v>Moderate</v>
      </c>
    </row>
    <row r="70" ht="22.5" customHeight="1" spans="1:45">
      <c r="A70" s="2" t="s">
        <v>45</v>
      </c>
      <c r="B70" s="2">
        <v>25</v>
      </c>
      <c r="C70" s="2">
        <v>1</v>
      </c>
      <c r="D70" s="2" t="s">
        <v>50</v>
      </c>
      <c r="E70" s="4">
        <f t="shared" si="15"/>
        <v>1</v>
      </c>
      <c r="F70" s="2">
        <v>1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1</v>
      </c>
      <c r="M70" s="2">
        <v>3</v>
      </c>
      <c r="N70" s="2">
        <v>3</v>
      </c>
      <c r="O70" s="2">
        <v>4</v>
      </c>
      <c r="P70" s="2">
        <v>3</v>
      </c>
      <c r="Q70" s="2">
        <v>3</v>
      </c>
      <c r="R70" s="2">
        <v>3</v>
      </c>
      <c r="S70" s="2">
        <v>4</v>
      </c>
      <c r="T70" s="2">
        <v>5</v>
      </c>
      <c r="U70" s="2">
        <v>4</v>
      </c>
      <c r="V70" s="2">
        <v>5</v>
      </c>
      <c r="W70" s="2">
        <v>5</v>
      </c>
      <c r="X70" s="2">
        <v>5</v>
      </c>
      <c r="Y70" s="2">
        <v>4</v>
      </c>
      <c r="Z70" s="2">
        <v>4</v>
      </c>
      <c r="AA70" s="2">
        <v>4</v>
      </c>
      <c r="AB70" s="2">
        <v>3</v>
      </c>
      <c r="AC70" s="2">
        <v>3</v>
      </c>
      <c r="AD70" s="2">
        <v>4</v>
      </c>
      <c r="AE70" s="2">
        <v>4</v>
      </c>
      <c r="AF70" s="2">
        <v>4</v>
      </c>
      <c r="AG70" s="2">
        <v>4</v>
      </c>
      <c r="AH70" s="4">
        <f t="shared" si="16"/>
        <v>3.5</v>
      </c>
      <c r="AI70" s="4">
        <f t="shared" si="17"/>
        <v>4.33333333333333</v>
      </c>
      <c r="AJ70" s="4">
        <f t="shared" si="18"/>
        <v>4.33333333333333</v>
      </c>
      <c r="AK70" s="4">
        <f t="shared" si="19"/>
        <v>3.66666666666667</v>
      </c>
      <c r="AL70">
        <f t="shared" si="20"/>
        <v>1.3</v>
      </c>
      <c r="AM70">
        <f t="shared" si="21"/>
        <v>3.5</v>
      </c>
      <c r="AN7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3.66666666666667</v>
      </c>
      <c r="AO70">
        <f t="shared" si="22"/>
        <v>4</v>
      </c>
      <c r="AP70">
        <f>Form_Responses[[#This Row],[Emotional_Burden_Raw]]-(0.5*Form_Responses[[#This Row],[Protective_factor]])</f>
        <v>1.66666666666667</v>
      </c>
      <c r="AQ7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4.42857142857143</v>
      </c>
      <c r="AR7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Row],[Treatment_Score]]+(0.032997*E70))</f>
        <v>3.55872219047619</v>
      </c>
      <c r="AS70" t="str">
        <f>IF(Form_Responses[[#This Row],[PCA_distress_index]]&lt;1.5,"Low",IF(Form_Responses[[#This Row],[PCA_distress_index]]&lt;2.7,"Moderate","High"))</f>
        <v>High</v>
      </c>
    </row>
    <row r="71" ht="22.5" customHeight="1" spans="1:45">
      <c r="A71" s="2" t="s">
        <v>45</v>
      </c>
      <c r="B71" s="2">
        <v>45</v>
      </c>
      <c r="C71" s="2">
        <v>0</v>
      </c>
      <c r="D71" s="2" t="s">
        <v>62</v>
      </c>
      <c r="E71" s="4">
        <f t="shared" si="15"/>
        <v>5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3</v>
      </c>
      <c r="N71" s="2">
        <v>2</v>
      </c>
      <c r="O71" s="2">
        <v>2</v>
      </c>
      <c r="P71" s="2">
        <v>2</v>
      </c>
      <c r="Q71" s="2">
        <v>2</v>
      </c>
      <c r="R71" s="2">
        <v>2</v>
      </c>
      <c r="S71" s="2">
        <v>3</v>
      </c>
      <c r="T71" s="2">
        <v>3</v>
      </c>
      <c r="U71" s="2">
        <v>3</v>
      </c>
      <c r="V71" s="2">
        <v>3</v>
      </c>
      <c r="W71" s="2">
        <v>3</v>
      </c>
      <c r="X71" s="2">
        <v>3</v>
      </c>
      <c r="Y71" s="2">
        <v>3</v>
      </c>
      <c r="Z71" s="2">
        <v>3</v>
      </c>
      <c r="AA71" s="2">
        <v>3</v>
      </c>
      <c r="AB71" s="2">
        <v>3</v>
      </c>
      <c r="AC71" s="2">
        <v>3</v>
      </c>
      <c r="AD71" s="2">
        <v>2</v>
      </c>
      <c r="AE71" s="2">
        <v>3</v>
      </c>
      <c r="AF71" s="2">
        <v>3</v>
      </c>
      <c r="AG71" s="2">
        <v>3</v>
      </c>
      <c r="AH71" s="4">
        <f t="shared" si="16"/>
        <v>2.5</v>
      </c>
      <c r="AI71" s="4">
        <f t="shared" si="17"/>
        <v>3</v>
      </c>
      <c r="AJ71" s="4">
        <f t="shared" si="18"/>
        <v>2.66666666666667</v>
      </c>
      <c r="AK71" s="4">
        <f t="shared" si="19"/>
        <v>2.33333333333333</v>
      </c>
      <c r="AL71">
        <f t="shared" si="20"/>
        <v>0</v>
      </c>
      <c r="AM71">
        <f t="shared" si="21"/>
        <v>2.25</v>
      </c>
      <c r="AN7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71">
        <f t="shared" si="22"/>
        <v>3</v>
      </c>
      <c r="AP71">
        <f>Form_Responses[[#This Row],[Emotional_Burden_Raw]]-(0.5*Form_Responses[[#This Row],[Protective_factor]])</f>
        <v>1.16666666666667</v>
      </c>
      <c r="AQ7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7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Row],[Treatment_Score]]+(0.032997*E71))</f>
        <v>2.48662808333333</v>
      </c>
      <c r="AS71" t="str">
        <f>IF(Form_Responses[[#This Row],[PCA_distress_index]]&lt;1.5,"Low",IF(Form_Responses[[#This Row],[PCA_distress_index]]&lt;2.7,"Moderate","High"))</f>
        <v>Moderate</v>
      </c>
    </row>
    <row r="72" ht="22.5" customHeight="1" spans="1:45">
      <c r="A72" s="2" t="s">
        <v>45</v>
      </c>
      <c r="B72" s="2">
        <v>65</v>
      </c>
      <c r="C72" s="2">
        <v>0</v>
      </c>
      <c r="D72" s="2" t="s">
        <v>47</v>
      </c>
      <c r="E72" s="4">
        <f t="shared" si="15"/>
        <v>4</v>
      </c>
      <c r="F72" s="2">
        <v>1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3</v>
      </c>
      <c r="P72" s="2">
        <v>2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2</v>
      </c>
      <c r="W72" s="2">
        <v>1</v>
      </c>
      <c r="X72" s="2">
        <v>1</v>
      </c>
      <c r="Y72" s="2">
        <v>1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4</v>
      </c>
      <c r="AG72" s="2">
        <v>3</v>
      </c>
      <c r="AH72" s="4">
        <f t="shared" si="16"/>
        <v>1.5</v>
      </c>
      <c r="AI72" s="4">
        <f t="shared" si="17"/>
        <v>1.33333333333333</v>
      </c>
      <c r="AJ72" s="4">
        <f t="shared" si="18"/>
        <v>1</v>
      </c>
      <c r="AK72" s="4">
        <f t="shared" si="19"/>
        <v>1.66666666666667</v>
      </c>
      <c r="AL72">
        <f t="shared" si="20"/>
        <v>1.3</v>
      </c>
      <c r="AM72">
        <f t="shared" si="21"/>
        <v>2</v>
      </c>
      <c r="AN7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</v>
      </c>
      <c r="AO72">
        <f t="shared" si="22"/>
        <v>3.5</v>
      </c>
      <c r="AP72">
        <f>Form_Responses[[#This Row],[Emotional_Burden_Raw]]-(0.5*Form_Responses[[#This Row],[Protective_factor]])</f>
        <v>-0.75</v>
      </c>
      <c r="AQ7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1.14285714285714</v>
      </c>
      <c r="AR7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Row],[Treatment_Score]]+(0.032997*E72))</f>
        <v>1.44896078571429</v>
      </c>
      <c r="AS72" t="str">
        <f>IF(Form_Responses[[#This Row],[PCA_distress_index]]&lt;1.5,"Low",IF(Form_Responses[[#This Row],[PCA_distress_index]]&lt;2.7,"Moderate","High"))</f>
        <v>Low</v>
      </c>
    </row>
    <row r="73" ht="22.5" customHeight="1" spans="1:45">
      <c r="A73" s="2" t="s">
        <v>45</v>
      </c>
      <c r="B73" s="2">
        <v>45</v>
      </c>
      <c r="C73" s="2">
        <v>0</v>
      </c>
      <c r="D73" s="2" t="s">
        <v>50</v>
      </c>
      <c r="E73" s="4">
        <f t="shared" si="15"/>
        <v>1</v>
      </c>
      <c r="F73" s="2">
        <v>0</v>
      </c>
      <c r="G73" s="2">
        <v>0</v>
      </c>
      <c r="H73" s="2">
        <v>1</v>
      </c>
      <c r="I73" s="2">
        <v>0</v>
      </c>
      <c r="J73" s="2">
        <v>0</v>
      </c>
      <c r="K73" s="2">
        <v>0</v>
      </c>
      <c r="L73" s="2">
        <v>1</v>
      </c>
      <c r="M73" s="2">
        <v>2</v>
      </c>
      <c r="N73" s="2">
        <v>4</v>
      </c>
      <c r="O73" s="2">
        <v>2</v>
      </c>
      <c r="P73" s="2">
        <v>2</v>
      </c>
      <c r="Q73" s="2">
        <v>2</v>
      </c>
      <c r="R73" s="2">
        <v>1</v>
      </c>
      <c r="S73" s="2">
        <v>2</v>
      </c>
      <c r="T73" s="2">
        <v>2</v>
      </c>
      <c r="U73" s="2">
        <v>2</v>
      </c>
      <c r="V73" s="2">
        <v>2</v>
      </c>
      <c r="W73" s="2">
        <v>2</v>
      </c>
      <c r="X73" s="2">
        <v>1</v>
      </c>
      <c r="Y73" s="2">
        <v>3</v>
      </c>
      <c r="Z73" s="2">
        <v>2</v>
      </c>
      <c r="AA73" s="2">
        <v>2</v>
      </c>
      <c r="AB73" s="2">
        <v>1</v>
      </c>
      <c r="AC73" s="2">
        <v>2</v>
      </c>
      <c r="AD73" s="2">
        <v>1</v>
      </c>
      <c r="AE73" s="2">
        <v>1</v>
      </c>
      <c r="AF73" s="2">
        <v>5</v>
      </c>
      <c r="AG73" s="2">
        <v>5</v>
      </c>
      <c r="AH73" s="4">
        <f t="shared" si="16"/>
        <v>2.5</v>
      </c>
      <c r="AI73" s="4">
        <f t="shared" si="17"/>
        <v>2</v>
      </c>
      <c r="AJ73" s="4">
        <f t="shared" si="18"/>
        <v>2</v>
      </c>
      <c r="AK73" s="4">
        <f t="shared" si="19"/>
        <v>1.66666666666667</v>
      </c>
      <c r="AL73">
        <f t="shared" si="20"/>
        <v>1</v>
      </c>
      <c r="AM73">
        <f t="shared" si="21"/>
        <v>2.25</v>
      </c>
      <c r="AN7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1.5</v>
      </c>
      <c r="AO73">
        <f t="shared" si="22"/>
        <v>5</v>
      </c>
      <c r="AP73">
        <f>Form_Responses[[#This Row],[Emotional_Burden_Raw]]-(0.5*Form_Responses[[#This Row],[Protective_factor]])</f>
        <v>-1</v>
      </c>
      <c r="AQ7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</v>
      </c>
      <c r="AR7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Row],[Treatment_Score]]+(0.032997*E73))</f>
        <v>1.80601375</v>
      </c>
      <c r="AS73" t="str">
        <f>IF(Form_Responses[[#This Row],[PCA_distress_index]]&lt;1.5,"Low",IF(Form_Responses[[#This Row],[PCA_distress_index]]&lt;2.7,"Moderate","High"))</f>
        <v>Moderate</v>
      </c>
    </row>
    <row r="74" ht="22.5" customHeight="1" spans="1:45">
      <c r="A74" s="2" t="s">
        <v>45</v>
      </c>
      <c r="B74" s="2">
        <v>65</v>
      </c>
      <c r="C74" s="2">
        <v>0</v>
      </c>
      <c r="D74" s="2" t="s">
        <v>63</v>
      </c>
      <c r="E74" s="4">
        <f t="shared" si="15"/>
        <v>2</v>
      </c>
      <c r="F74" s="2">
        <v>1</v>
      </c>
      <c r="G74" s="2">
        <v>1</v>
      </c>
      <c r="H74" s="2">
        <v>1</v>
      </c>
      <c r="I74" s="2">
        <v>0</v>
      </c>
      <c r="J74" s="2">
        <v>1</v>
      </c>
      <c r="K74" s="2">
        <v>0</v>
      </c>
      <c r="L74" s="2">
        <v>0</v>
      </c>
      <c r="M74" s="2">
        <v>5</v>
      </c>
      <c r="N74" s="2">
        <v>4</v>
      </c>
      <c r="O74" s="2">
        <v>4</v>
      </c>
      <c r="P74" s="2">
        <v>4</v>
      </c>
      <c r="Q74" s="2">
        <v>5</v>
      </c>
      <c r="R74" s="2">
        <v>3</v>
      </c>
      <c r="S74" s="2">
        <v>4</v>
      </c>
      <c r="T74" s="2">
        <v>4</v>
      </c>
      <c r="U74" s="2">
        <v>4</v>
      </c>
      <c r="V74" s="2">
        <v>5</v>
      </c>
      <c r="W74" s="2">
        <v>4</v>
      </c>
      <c r="X74" s="2">
        <v>3</v>
      </c>
      <c r="Y74" s="2">
        <v>1</v>
      </c>
      <c r="Z74" s="2">
        <v>5</v>
      </c>
      <c r="AA74" s="2">
        <v>5</v>
      </c>
      <c r="AB74" s="2">
        <v>4</v>
      </c>
      <c r="AC74" s="2">
        <v>5</v>
      </c>
      <c r="AD74" s="2">
        <v>4</v>
      </c>
      <c r="AE74" s="2">
        <v>4</v>
      </c>
      <c r="AF74" s="2">
        <v>5</v>
      </c>
      <c r="AG74" s="2">
        <v>5</v>
      </c>
      <c r="AH74" s="4">
        <f t="shared" si="16"/>
        <v>2.5</v>
      </c>
      <c r="AI74" s="4">
        <f t="shared" si="17"/>
        <v>4.66666666666667</v>
      </c>
      <c r="AJ74" s="4">
        <f t="shared" si="18"/>
        <v>4.33333333333333</v>
      </c>
      <c r="AK74" s="4">
        <f t="shared" si="19"/>
        <v>4.33333333333333</v>
      </c>
      <c r="AL74">
        <f t="shared" si="20"/>
        <v>4.1</v>
      </c>
      <c r="AM74">
        <f t="shared" si="21"/>
        <v>4.25</v>
      </c>
      <c r="AN7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</v>
      </c>
      <c r="AO74">
        <f t="shared" si="22"/>
        <v>5</v>
      </c>
      <c r="AP74">
        <f>Form_Responses[[#This Row],[Emotional_Burden_Raw]]-(0.5*Form_Responses[[#This Row],[Protective_factor]])</f>
        <v>1.5</v>
      </c>
      <c r="AQ7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3.85714285714286</v>
      </c>
      <c r="AR7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Row],[Treatment_Score]]+(0.032997*E74))</f>
        <v>3.96550596428571</v>
      </c>
      <c r="AS74" t="str">
        <f>IF(Form_Responses[[#This Row],[PCA_distress_index]]&lt;1.5,"Low",IF(Form_Responses[[#This Row],[PCA_distress_index]]&lt;2.7,"Moderate","High"))</f>
        <v>High</v>
      </c>
    </row>
    <row r="75" ht="22.5" customHeight="1" spans="1:45">
      <c r="A75" s="2" t="s">
        <v>45</v>
      </c>
      <c r="B75" s="2">
        <v>25</v>
      </c>
      <c r="C75" s="2">
        <v>0</v>
      </c>
      <c r="D75" s="2" t="s">
        <v>50</v>
      </c>
      <c r="E75" s="4">
        <f t="shared" si="15"/>
        <v>1</v>
      </c>
      <c r="F75" s="2">
        <v>0</v>
      </c>
      <c r="G75" s="2">
        <v>0</v>
      </c>
      <c r="H75" s="2">
        <v>1</v>
      </c>
      <c r="I75" s="2">
        <v>0</v>
      </c>
      <c r="J75" s="2">
        <v>0</v>
      </c>
      <c r="K75" s="2">
        <v>0</v>
      </c>
      <c r="L75" s="2">
        <v>1</v>
      </c>
      <c r="M75" s="2">
        <v>5</v>
      </c>
      <c r="N75" s="2">
        <v>5</v>
      </c>
      <c r="O75" s="2">
        <v>1</v>
      </c>
      <c r="P75" s="2">
        <v>4</v>
      </c>
      <c r="Q75" s="2">
        <v>1</v>
      </c>
      <c r="R75" s="2">
        <v>1</v>
      </c>
      <c r="S75" s="2">
        <v>1</v>
      </c>
      <c r="T75" s="2">
        <v>2</v>
      </c>
      <c r="U75" s="2">
        <v>3</v>
      </c>
      <c r="V75" s="2">
        <v>2</v>
      </c>
      <c r="W75" s="2">
        <v>2</v>
      </c>
      <c r="X75" s="2">
        <v>1</v>
      </c>
      <c r="Y75" s="2">
        <v>4</v>
      </c>
      <c r="Z75" s="2">
        <v>2</v>
      </c>
      <c r="AA75" s="2">
        <v>1</v>
      </c>
      <c r="AB75" s="2">
        <v>2</v>
      </c>
      <c r="AC75" s="2">
        <v>2</v>
      </c>
      <c r="AD75" s="2">
        <v>1</v>
      </c>
      <c r="AE75" s="2">
        <v>2</v>
      </c>
      <c r="AF75" s="2">
        <v>5</v>
      </c>
      <c r="AG75" s="2">
        <v>5</v>
      </c>
      <c r="AH75" s="4">
        <f t="shared" si="16"/>
        <v>4</v>
      </c>
      <c r="AI75" s="4">
        <f t="shared" si="17"/>
        <v>2</v>
      </c>
      <c r="AJ75" s="4">
        <f t="shared" si="18"/>
        <v>1.66666666666667</v>
      </c>
      <c r="AK75" s="4">
        <f t="shared" si="19"/>
        <v>2.33333333333333</v>
      </c>
      <c r="AL75">
        <f t="shared" si="20"/>
        <v>1</v>
      </c>
      <c r="AM75">
        <f t="shared" si="21"/>
        <v>3</v>
      </c>
      <c r="AN7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1.5</v>
      </c>
      <c r="AO75">
        <f t="shared" si="22"/>
        <v>5</v>
      </c>
      <c r="AP75">
        <f>Form_Responses[[#This Row],[Emotional_Burden_Raw]]-(0.5*Form_Responses[[#This Row],[Protective_factor]])</f>
        <v>-1</v>
      </c>
      <c r="AQ7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2.14285714285714</v>
      </c>
      <c r="AR7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Row],[Treatment_Score]]+(0.032997*E75))</f>
        <v>2.05895128571429</v>
      </c>
      <c r="AS75" t="str">
        <f>IF(Form_Responses[[#This Row],[PCA_distress_index]]&lt;1.5,"Low",IF(Form_Responses[[#This Row],[PCA_distress_index]]&lt;2.7,"Moderate","High"))</f>
        <v>Moderate</v>
      </c>
    </row>
    <row r="76" ht="22.5" customHeight="1" spans="1:45">
      <c r="A76" s="2" t="s">
        <v>45</v>
      </c>
      <c r="B76" s="2">
        <v>25</v>
      </c>
      <c r="C76" s="2">
        <v>1</v>
      </c>
      <c r="D76" s="2" t="s">
        <v>53</v>
      </c>
      <c r="E76" s="4">
        <f t="shared" si="15"/>
        <v>5</v>
      </c>
      <c r="F76" s="2">
        <v>1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1</v>
      </c>
      <c r="M76" s="2">
        <v>1</v>
      </c>
      <c r="N76" s="2">
        <v>1</v>
      </c>
      <c r="O76" s="2">
        <v>2</v>
      </c>
      <c r="P76" s="2">
        <v>1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1</v>
      </c>
      <c r="Z76" s="2">
        <v>1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4">
        <f t="shared" si="16"/>
        <v>1</v>
      </c>
      <c r="AI76" s="4">
        <f t="shared" si="17"/>
        <v>1</v>
      </c>
      <c r="AJ76" s="4">
        <f t="shared" si="18"/>
        <v>1</v>
      </c>
      <c r="AK76" s="4">
        <f t="shared" si="19"/>
        <v>1.33333333333333</v>
      </c>
      <c r="AL76">
        <f t="shared" si="20"/>
        <v>1.3</v>
      </c>
      <c r="AM76">
        <f t="shared" si="21"/>
        <v>1.25</v>
      </c>
      <c r="AN7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</v>
      </c>
      <c r="AO76">
        <f t="shared" si="22"/>
        <v>1</v>
      </c>
      <c r="AP76">
        <f>Form_Responses[[#This Row],[Emotional_Burden_Raw]]-(0.5*Form_Responses[[#This Row],[Protective_factor]])</f>
        <v>0.5</v>
      </c>
      <c r="AQ7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</v>
      </c>
      <c r="AR7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Row],[Treatment_Score]]+(0.032997*E76))</f>
        <v>1.22902025</v>
      </c>
      <c r="AS76" t="str">
        <f>IF(Form_Responses[[#This Row],[PCA_distress_index]]&lt;1.5,"Low",IF(Form_Responses[[#This Row],[PCA_distress_index]]&lt;2.7,"Moderate","High"))</f>
        <v>Low</v>
      </c>
    </row>
    <row r="77" ht="22.5" customHeight="1" spans="1:45">
      <c r="A77" s="2" t="s">
        <v>45</v>
      </c>
      <c r="B77" s="2">
        <v>25</v>
      </c>
      <c r="C77" s="2">
        <v>0</v>
      </c>
      <c r="D77" s="2" t="s">
        <v>64</v>
      </c>
      <c r="E77" s="4">
        <f t="shared" si="15"/>
        <v>1</v>
      </c>
      <c r="F77" s="2">
        <v>1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4</v>
      </c>
      <c r="N77" s="2">
        <v>4</v>
      </c>
      <c r="O77" s="2">
        <v>5</v>
      </c>
      <c r="P77" s="2">
        <v>4</v>
      </c>
      <c r="Q77" s="2">
        <v>3</v>
      </c>
      <c r="R77" s="2">
        <v>3</v>
      </c>
      <c r="S77" s="2">
        <v>2</v>
      </c>
      <c r="T77" s="2">
        <v>2</v>
      </c>
      <c r="U77" s="2">
        <v>4</v>
      </c>
      <c r="V77" s="2">
        <v>2</v>
      </c>
      <c r="W77" s="2">
        <v>3</v>
      </c>
      <c r="X77" s="2">
        <v>1</v>
      </c>
      <c r="Y77" s="2">
        <v>3</v>
      </c>
      <c r="Z77" s="2">
        <v>2</v>
      </c>
      <c r="AA77" s="2">
        <v>1</v>
      </c>
      <c r="AB77" s="2">
        <v>1</v>
      </c>
      <c r="AC77" s="2">
        <v>3</v>
      </c>
      <c r="AD77" s="2">
        <v>3</v>
      </c>
      <c r="AE77" s="2">
        <v>2</v>
      </c>
      <c r="AF77" s="2">
        <v>4</v>
      </c>
      <c r="AG77" s="2">
        <v>2</v>
      </c>
      <c r="AH77" s="4">
        <f t="shared" si="16"/>
        <v>3.5</v>
      </c>
      <c r="AI77" s="4">
        <f t="shared" si="17"/>
        <v>2.33333333333333</v>
      </c>
      <c r="AJ77" s="4">
        <f t="shared" si="18"/>
        <v>2.66666666666667</v>
      </c>
      <c r="AK77" s="4">
        <f t="shared" si="19"/>
        <v>4</v>
      </c>
      <c r="AL77">
        <f t="shared" si="20"/>
        <v>1.3</v>
      </c>
      <c r="AM77">
        <f t="shared" si="21"/>
        <v>4</v>
      </c>
      <c r="AN7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77">
        <f t="shared" si="22"/>
        <v>3</v>
      </c>
      <c r="AP77">
        <f>Form_Responses[[#This Row],[Emotional_Burden_Raw]]-(0.5*Form_Responses[[#This Row],[Protective_factor]])</f>
        <v>0.666666666666667</v>
      </c>
      <c r="AQ7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2.28571428571429</v>
      </c>
      <c r="AR7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Row],[Treatment_Score]]+(0.032997*E77))</f>
        <v>2.5895574047619</v>
      </c>
      <c r="AS77" t="str">
        <f>IF(Form_Responses[[#This Row],[PCA_distress_index]]&lt;1.5,"Low",IF(Form_Responses[[#This Row],[PCA_distress_index]]&lt;2.7,"Moderate","High"))</f>
        <v>Moderate</v>
      </c>
    </row>
    <row r="78" ht="22.5" customHeight="1" spans="1:45">
      <c r="A78" s="2" t="s">
        <v>45</v>
      </c>
      <c r="B78" s="2">
        <v>25</v>
      </c>
      <c r="C78" s="2">
        <v>1</v>
      </c>
      <c r="D78" s="2" t="s">
        <v>50</v>
      </c>
      <c r="E78" s="4">
        <f t="shared" si="15"/>
        <v>1</v>
      </c>
      <c r="F78" s="2">
        <v>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1</v>
      </c>
      <c r="M78" s="2">
        <v>5</v>
      </c>
      <c r="N78" s="2">
        <v>2</v>
      </c>
      <c r="O78" s="2">
        <v>3</v>
      </c>
      <c r="P78" s="2">
        <v>3</v>
      </c>
      <c r="Q78" s="2">
        <v>3</v>
      </c>
      <c r="R78" s="2">
        <v>1</v>
      </c>
      <c r="S78" s="2">
        <v>4</v>
      </c>
      <c r="T78" s="2">
        <v>3</v>
      </c>
      <c r="U78" s="2">
        <v>5</v>
      </c>
      <c r="V78" s="2">
        <v>5</v>
      </c>
      <c r="W78" s="2">
        <v>4</v>
      </c>
      <c r="X78" s="2">
        <v>1</v>
      </c>
      <c r="Y78" s="2">
        <v>2</v>
      </c>
      <c r="Z78" s="2">
        <v>5</v>
      </c>
      <c r="AA78" s="2">
        <v>1</v>
      </c>
      <c r="AB78" s="2">
        <v>5</v>
      </c>
      <c r="AC78" s="2">
        <v>5</v>
      </c>
      <c r="AD78" s="2">
        <v>5</v>
      </c>
      <c r="AE78" s="2">
        <v>5</v>
      </c>
      <c r="AF78" s="2">
        <v>4</v>
      </c>
      <c r="AG78" s="2">
        <v>3</v>
      </c>
      <c r="AH78" s="4">
        <f t="shared" si="16"/>
        <v>2.5</v>
      </c>
      <c r="AI78" s="4">
        <f t="shared" si="17"/>
        <v>3.66666666666667</v>
      </c>
      <c r="AJ78" s="4">
        <f t="shared" si="18"/>
        <v>3.33333333333333</v>
      </c>
      <c r="AK78" s="4">
        <f t="shared" si="19"/>
        <v>4.33333333333333</v>
      </c>
      <c r="AL78">
        <f t="shared" si="20"/>
        <v>1.3</v>
      </c>
      <c r="AM78">
        <f t="shared" si="21"/>
        <v>3.75</v>
      </c>
      <c r="AN7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3.5</v>
      </c>
      <c r="AO78">
        <f t="shared" si="22"/>
        <v>3.5</v>
      </c>
      <c r="AP78">
        <f>Form_Responses[[#This Row],[Emotional_Burden_Raw]]-(0.5*Form_Responses[[#This Row],[Protective_factor]])</f>
        <v>1.75</v>
      </c>
      <c r="AQ7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7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Row],[Treatment_Score]]+(0.032997*E78))</f>
        <v>3.20885632142857</v>
      </c>
      <c r="AS78" t="str">
        <f>IF(Form_Responses[[#This Row],[PCA_distress_index]]&lt;1.5,"Low",IF(Form_Responses[[#This Row],[PCA_distress_index]]&lt;2.7,"Moderate","High"))</f>
        <v>High</v>
      </c>
    </row>
    <row r="79" ht="22.5" customHeight="1" spans="1:45">
      <c r="A79" s="2" t="s">
        <v>45</v>
      </c>
      <c r="B79" s="2">
        <v>45</v>
      </c>
      <c r="C79" s="2">
        <v>0</v>
      </c>
      <c r="D79" s="2" t="s">
        <v>50</v>
      </c>
      <c r="E79" s="4">
        <f t="shared" si="15"/>
        <v>1</v>
      </c>
      <c r="F79" s="2">
        <v>1</v>
      </c>
      <c r="G79" s="2">
        <v>0</v>
      </c>
      <c r="H79" s="2">
        <v>1</v>
      </c>
      <c r="I79" s="2">
        <v>0</v>
      </c>
      <c r="J79" s="2">
        <v>1</v>
      </c>
      <c r="K79" s="2">
        <v>0</v>
      </c>
      <c r="L79" s="2">
        <v>1</v>
      </c>
      <c r="M79" s="2">
        <v>4</v>
      </c>
      <c r="N79" s="2">
        <v>4</v>
      </c>
      <c r="O79" s="2">
        <v>2</v>
      </c>
      <c r="P79" s="2">
        <v>4</v>
      </c>
      <c r="Q79" s="2">
        <v>4</v>
      </c>
      <c r="R79" s="2">
        <v>2</v>
      </c>
      <c r="S79" s="2">
        <v>3</v>
      </c>
      <c r="T79" s="2">
        <v>2</v>
      </c>
      <c r="U79" s="2">
        <v>2</v>
      </c>
      <c r="V79" s="2">
        <v>3</v>
      </c>
      <c r="W79" s="2">
        <v>2</v>
      </c>
      <c r="X79" s="2">
        <v>1</v>
      </c>
      <c r="Y79" s="2">
        <v>3</v>
      </c>
      <c r="Z79" s="2">
        <v>2</v>
      </c>
      <c r="AA79" s="2">
        <v>3</v>
      </c>
      <c r="AB79" s="2">
        <v>2</v>
      </c>
      <c r="AC79" s="2">
        <v>3</v>
      </c>
      <c r="AD79" s="2">
        <v>1</v>
      </c>
      <c r="AE79" s="2">
        <v>3</v>
      </c>
      <c r="AF79" s="2">
        <v>4</v>
      </c>
      <c r="AG79" s="2">
        <v>4</v>
      </c>
      <c r="AH79" s="4">
        <f t="shared" si="16"/>
        <v>3.5</v>
      </c>
      <c r="AI79" s="4">
        <f t="shared" si="17"/>
        <v>2.66666666666667</v>
      </c>
      <c r="AJ79" s="4">
        <f t="shared" si="18"/>
        <v>2.66666666666667</v>
      </c>
      <c r="AK79" s="4">
        <f t="shared" si="19"/>
        <v>2.33333333333333</v>
      </c>
      <c r="AL79">
        <f t="shared" si="20"/>
        <v>3.4</v>
      </c>
      <c r="AM79">
        <f t="shared" si="21"/>
        <v>2.75</v>
      </c>
      <c r="AN7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79">
        <f t="shared" si="22"/>
        <v>4</v>
      </c>
      <c r="AP79">
        <f>Form_Responses[[#This Row],[Emotional_Burden_Raw]]-(0.5*Form_Responses[[#This Row],[Protective_factor]])</f>
        <v>0.666666666666667</v>
      </c>
      <c r="AQ7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2.28571428571429</v>
      </c>
      <c r="AR7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Row],[Treatment_Score]]+(0.032997*E79))</f>
        <v>2.5792331547619</v>
      </c>
      <c r="AS79" t="str">
        <f>IF(Form_Responses[[#This Row],[PCA_distress_index]]&lt;1.5,"Low",IF(Form_Responses[[#This Row],[PCA_distress_index]]&lt;2.7,"Moderate","High"))</f>
        <v>Moderate</v>
      </c>
    </row>
    <row r="80" ht="22.5" customHeight="1" spans="1:45">
      <c r="A80" s="2" t="s">
        <v>45</v>
      </c>
      <c r="B80" s="2">
        <v>45</v>
      </c>
      <c r="C80" s="2">
        <v>0</v>
      </c>
      <c r="D80" s="2" t="s">
        <v>49</v>
      </c>
      <c r="E80" s="4">
        <f t="shared" si="15"/>
        <v>1</v>
      </c>
      <c r="F80" s="2">
        <v>1</v>
      </c>
      <c r="G80" s="2">
        <v>1</v>
      </c>
      <c r="H80" s="2">
        <v>1</v>
      </c>
      <c r="I80" s="2">
        <v>1</v>
      </c>
      <c r="J80" s="2">
        <v>0</v>
      </c>
      <c r="K80" s="2">
        <v>0</v>
      </c>
      <c r="L80" s="2">
        <v>0</v>
      </c>
      <c r="M80" s="2">
        <v>4</v>
      </c>
      <c r="N80" s="2">
        <v>2</v>
      </c>
      <c r="O80" s="2">
        <v>4</v>
      </c>
      <c r="P80" s="2">
        <v>3</v>
      </c>
      <c r="Q80" s="2">
        <v>4</v>
      </c>
      <c r="R80" s="2">
        <v>2</v>
      </c>
      <c r="S80" s="2">
        <v>2</v>
      </c>
      <c r="T80" s="2">
        <v>3</v>
      </c>
      <c r="U80" s="2">
        <v>4</v>
      </c>
      <c r="V80" s="2">
        <v>3</v>
      </c>
      <c r="W80" s="2">
        <v>3</v>
      </c>
      <c r="X80" s="2">
        <v>3</v>
      </c>
      <c r="Y80" s="2">
        <v>4</v>
      </c>
      <c r="Z80" s="2">
        <v>4</v>
      </c>
      <c r="AA80" s="2">
        <v>2</v>
      </c>
      <c r="AB80" s="2">
        <v>2</v>
      </c>
      <c r="AC80" s="2">
        <v>5</v>
      </c>
      <c r="AD80" s="2">
        <v>2</v>
      </c>
      <c r="AE80" s="2">
        <v>2</v>
      </c>
      <c r="AF80" s="2">
        <v>2</v>
      </c>
      <c r="AG80" s="2">
        <v>5</v>
      </c>
      <c r="AH80" s="4">
        <f t="shared" si="16"/>
        <v>3.5</v>
      </c>
      <c r="AI80" s="4">
        <f t="shared" si="17"/>
        <v>3</v>
      </c>
      <c r="AJ80" s="4">
        <f t="shared" si="18"/>
        <v>3.33333333333333</v>
      </c>
      <c r="AK80" s="4">
        <f t="shared" si="19"/>
        <v>3.33333333333333</v>
      </c>
      <c r="AL80">
        <f t="shared" si="20"/>
        <v>4.2</v>
      </c>
      <c r="AM80">
        <f t="shared" si="21"/>
        <v>3</v>
      </c>
      <c r="AN8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2.5</v>
      </c>
      <c r="AO80">
        <f t="shared" si="22"/>
        <v>3.5</v>
      </c>
      <c r="AP80">
        <f>Form_Responses[[#This Row],[Emotional_Burden_Raw]]-(0.5*Form_Responses[[#This Row],[Protective_factor]])</f>
        <v>0.75</v>
      </c>
      <c r="AQ8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3.28571428571429</v>
      </c>
      <c r="AR8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Row],[Treatment_Score]]+(0.032997*E80))</f>
        <v>3.00501357142857</v>
      </c>
      <c r="AS80" t="str">
        <f>IF(Form_Responses[[#This Row],[PCA_distress_index]]&lt;1.5,"Low",IF(Form_Responses[[#This Row],[PCA_distress_index]]&lt;2.7,"Moderate","High"))</f>
        <v>High</v>
      </c>
    </row>
    <row r="81" ht="22.5" customHeight="1" spans="1:45">
      <c r="A81" s="2" t="s">
        <v>45</v>
      </c>
      <c r="B81" s="2">
        <v>45</v>
      </c>
      <c r="C81" s="2">
        <v>1</v>
      </c>
      <c r="D81" s="2" t="s">
        <v>50</v>
      </c>
      <c r="E81" s="4">
        <f t="shared" si="15"/>
        <v>1</v>
      </c>
      <c r="F81" s="2">
        <v>0</v>
      </c>
      <c r="G81" s="2">
        <v>0</v>
      </c>
      <c r="H81" s="2">
        <v>0</v>
      </c>
      <c r="I81" s="2">
        <v>0</v>
      </c>
      <c r="J81" s="2">
        <v>1</v>
      </c>
      <c r="K81" s="2">
        <v>0</v>
      </c>
      <c r="L81" s="2">
        <v>0</v>
      </c>
      <c r="M81" s="2">
        <v>4</v>
      </c>
      <c r="N81" s="2">
        <v>4</v>
      </c>
      <c r="O81" s="2">
        <v>5</v>
      </c>
      <c r="P81" s="2">
        <v>3</v>
      </c>
      <c r="Q81" s="2">
        <v>2</v>
      </c>
      <c r="R81" s="2">
        <v>3</v>
      </c>
      <c r="S81" s="2">
        <v>3</v>
      </c>
      <c r="T81" s="2">
        <v>2</v>
      </c>
      <c r="U81" s="2">
        <v>4</v>
      </c>
      <c r="V81" s="2">
        <v>4</v>
      </c>
      <c r="W81" s="2">
        <v>3</v>
      </c>
      <c r="X81" s="2">
        <v>2</v>
      </c>
      <c r="Y81" s="2">
        <v>4</v>
      </c>
      <c r="Z81" s="2">
        <v>1</v>
      </c>
      <c r="AA81" s="2">
        <v>4</v>
      </c>
      <c r="AB81" s="2">
        <v>2</v>
      </c>
      <c r="AC81" s="2">
        <v>3</v>
      </c>
      <c r="AD81" s="2">
        <v>2</v>
      </c>
      <c r="AE81" s="2">
        <v>1</v>
      </c>
      <c r="AF81" s="2">
        <v>3</v>
      </c>
      <c r="AG81" s="2">
        <v>3</v>
      </c>
      <c r="AH81" s="4">
        <f t="shared" si="16"/>
        <v>3.5</v>
      </c>
      <c r="AI81" s="4">
        <f t="shared" si="17"/>
        <v>4</v>
      </c>
      <c r="AJ81" s="4">
        <f t="shared" si="18"/>
        <v>2.33333333333333</v>
      </c>
      <c r="AK81" s="4">
        <f t="shared" si="19"/>
        <v>3.66666666666667</v>
      </c>
      <c r="AL81">
        <f t="shared" si="20"/>
        <v>1.1</v>
      </c>
      <c r="AM81">
        <f t="shared" si="21"/>
        <v>3.75</v>
      </c>
      <c r="AN8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81">
        <f t="shared" si="22"/>
        <v>3</v>
      </c>
      <c r="AP81">
        <f>Form_Responses[[#This Row],[Emotional_Burden_Raw]]-(0.5*Form_Responses[[#This Row],[Protective_factor]])</f>
        <v>0.666666666666667</v>
      </c>
      <c r="AQ8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3.14285714285714</v>
      </c>
      <c r="AR8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Row],[Treatment_Score]]+(0.032997*E81))</f>
        <v>2.78204636904762</v>
      </c>
      <c r="AS81" t="str">
        <f>IF(Form_Responses[[#This Row],[PCA_distress_index]]&lt;1.5,"Low",IF(Form_Responses[[#This Row],[PCA_distress_index]]&lt;2.7,"Moderate","High"))</f>
        <v>High</v>
      </c>
    </row>
    <row r="82" ht="22.5" customHeight="1" spans="1:45">
      <c r="A82" s="2" t="s">
        <v>45</v>
      </c>
      <c r="B82" s="2">
        <v>25</v>
      </c>
      <c r="C82" s="2">
        <v>1</v>
      </c>
      <c r="D82" s="2" t="s">
        <v>50</v>
      </c>
      <c r="E82" s="4">
        <f t="shared" si="15"/>
        <v>1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1</v>
      </c>
      <c r="M82" s="2">
        <v>2</v>
      </c>
      <c r="N82" s="2">
        <v>1</v>
      </c>
      <c r="O82" s="2">
        <v>1</v>
      </c>
      <c r="P82" s="2">
        <v>2</v>
      </c>
      <c r="Q82" s="2">
        <v>3</v>
      </c>
      <c r="R82" s="2">
        <v>1</v>
      </c>
      <c r="S82" s="2">
        <v>1</v>
      </c>
      <c r="T82" s="2">
        <v>1</v>
      </c>
      <c r="U82" s="2">
        <v>2</v>
      </c>
      <c r="V82" s="2">
        <v>4</v>
      </c>
      <c r="W82" s="2">
        <v>2</v>
      </c>
      <c r="X82" s="2">
        <v>1</v>
      </c>
      <c r="Y82" s="2">
        <v>1</v>
      </c>
      <c r="Z82" s="2">
        <v>2</v>
      </c>
      <c r="AA82" s="2">
        <v>1</v>
      </c>
      <c r="AB82" s="2">
        <v>1</v>
      </c>
      <c r="AC82" s="2">
        <v>2</v>
      </c>
      <c r="AD82" s="2">
        <v>1</v>
      </c>
      <c r="AE82" s="2">
        <v>1</v>
      </c>
      <c r="AF82" s="2">
        <v>2</v>
      </c>
      <c r="AG82" s="2">
        <v>1</v>
      </c>
      <c r="AH82" s="4">
        <f t="shared" si="16"/>
        <v>1.5</v>
      </c>
      <c r="AI82" s="4">
        <f t="shared" si="17"/>
        <v>2.33333333333333</v>
      </c>
      <c r="AJ82" s="4">
        <f t="shared" si="18"/>
        <v>2</v>
      </c>
      <c r="AK82" s="4">
        <f t="shared" si="19"/>
        <v>1.33333333333333</v>
      </c>
      <c r="AL82">
        <f t="shared" si="20"/>
        <v>2</v>
      </c>
      <c r="AM82">
        <f t="shared" si="21"/>
        <v>1.25</v>
      </c>
      <c r="AN8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1.33333333333333</v>
      </c>
      <c r="AO82">
        <f t="shared" si="22"/>
        <v>1.5</v>
      </c>
      <c r="AP82">
        <f>Form_Responses[[#This Row],[Emotional_Burden_Raw]]-(0.5*Form_Responses[[#This Row],[Protective_factor]])</f>
        <v>0.583333333333333</v>
      </c>
      <c r="AQ8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1.85714285714286</v>
      </c>
      <c r="AR8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Row],[Treatment_Score]]+(0.032997*E82))</f>
        <v>1.53343013095238</v>
      </c>
      <c r="AS82" t="str">
        <f>IF(Form_Responses[[#This Row],[PCA_distress_index]]&lt;1.5,"Low",IF(Form_Responses[[#This Row],[PCA_distress_index]]&lt;2.7,"Moderate","High"))</f>
        <v>Moderate</v>
      </c>
    </row>
    <row r="83" ht="22.5" customHeight="1" spans="1:45">
      <c r="A83" s="2" t="s">
        <v>45</v>
      </c>
      <c r="B83" s="2">
        <v>25</v>
      </c>
      <c r="C83" s="2">
        <v>1</v>
      </c>
      <c r="D83" s="2" t="s">
        <v>50</v>
      </c>
      <c r="E83" s="4">
        <f t="shared" si="15"/>
        <v>1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  <c r="K83" s="2">
        <v>0</v>
      </c>
      <c r="L83" s="2">
        <v>1</v>
      </c>
      <c r="M83" s="2">
        <v>2</v>
      </c>
      <c r="N83" s="2">
        <v>1</v>
      </c>
      <c r="O83" s="2">
        <v>2</v>
      </c>
      <c r="P83" s="2">
        <v>3</v>
      </c>
      <c r="Q83" s="2">
        <v>2</v>
      </c>
      <c r="R83" s="2">
        <v>1</v>
      </c>
      <c r="S83" s="2">
        <v>2</v>
      </c>
      <c r="T83" s="2">
        <v>1</v>
      </c>
      <c r="U83" s="2">
        <v>1</v>
      </c>
      <c r="V83" s="2">
        <v>5</v>
      </c>
      <c r="W83" s="2">
        <v>2</v>
      </c>
      <c r="X83" s="2">
        <v>1</v>
      </c>
      <c r="Y83" s="2">
        <v>5</v>
      </c>
      <c r="Z83" s="2">
        <v>1</v>
      </c>
      <c r="AA83" s="2">
        <v>2</v>
      </c>
      <c r="AB83" s="2">
        <v>2</v>
      </c>
      <c r="AC83" s="2">
        <v>2</v>
      </c>
      <c r="AD83" s="2">
        <v>2</v>
      </c>
      <c r="AE83" s="2">
        <v>1</v>
      </c>
      <c r="AF83" s="2">
        <v>2</v>
      </c>
      <c r="AG83" s="2">
        <v>3</v>
      </c>
      <c r="AH83" s="4">
        <f t="shared" si="16"/>
        <v>4</v>
      </c>
      <c r="AI83" s="4">
        <f t="shared" si="17"/>
        <v>2.66666666666667</v>
      </c>
      <c r="AJ83" s="4">
        <f t="shared" si="18"/>
        <v>1.66666666666667</v>
      </c>
      <c r="AK83" s="4">
        <f t="shared" si="19"/>
        <v>2</v>
      </c>
      <c r="AL83">
        <f t="shared" si="20"/>
        <v>2.4</v>
      </c>
      <c r="AM83">
        <f t="shared" si="21"/>
        <v>1.75</v>
      </c>
      <c r="AN8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1.5</v>
      </c>
      <c r="AO83">
        <f t="shared" si="22"/>
        <v>2.5</v>
      </c>
      <c r="AP83">
        <f>Form_Responses[[#This Row],[Emotional_Burden_Raw]]-(0.5*Form_Responses[[#This Row],[Protective_factor]])</f>
        <v>0.25</v>
      </c>
      <c r="AQ8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8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Row],[Treatment_Score]]+(0.032997*E83))</f>
        <v>1.94052810714286</v>
      </c>
      <c r="AS83" t="str">
        <f>IF(Form_Responses[[#This Row],[PCA_distress_index]]&lt;1.5,"Low",IF(Form_Responses[[#This Row],[PCA_distress_index]]&lt;2.7,"Moderate","High"))</f>
        <v>Moderate</v>
      </c>
    </row>
    <row r="84" ht="22.5" customHeight="1" spans="1:45">
      <c r="A84" s="2" t="s">
        <v>45</v>
      </c>
      <c r="B84" s="2">
        <v>25</v>
      </c>
      <c r="C84" s="2">
        <v>1</v>
      </c>
      <c r="D84" s="2" t="s">
        <v>52</v>
      </c>
      <c r="E84" s="4">
        <f t="shared" si="15"/>
        <v>4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3</v>
      </c>
      <c r="N84" s="2">
        <v>5</v>
      </c>
      <c r="O84" s="2">
        <v>2</v>
      </c>
      <c r="P84" s="2">
        <v>2</v>
      </c>
      <c r="Q84" s="2">
        <v>1</v>
      </c>
      <c r="R84" s="2">
        <v>1</v>
      </c>
      <c r="S84" s="2">
        <v>1</v>
      </c>
      <c r="T84" s="2">
        <v>1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1</v>
      </c>
      <c r="AA84" s="2">
        <v>1</v>
      </c>
      <c r="AB84" s="2">
        <v>2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4">
        <f t="shared" si="16"/>
        <v>1.5</v>
      </c>
      <c r="AI84" s="4">
        <f t="shared" si="17"/>
        <v>1</v>
      </c>
      <c r="AJ84" s="4">
        <f t="shared" si="18"/>
        <v>1</v>
      </c>
      <c r="AK84" s="4">
        <f t="shared" si="19"/>
        <v>2</v>
      </c>
      <c r="AL84">
        <f t="shared" si="20"/>
        <v>1.3</v>
      </c>
      <c r="AM84">
        <f t="shared" si="21"/>
        <v>2.75</v>
      </c>
      <c r="AN8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1.16666666666667</v>
      </c>
      <c r="AO84">
        <f t="shared" si="22"/>
        <v>1</v>
      </c>
      <c r="AP84">
        <f>Form_Responses[[#This Row],[Emotional_Burden_Raw]]-(0.5*Form_Responses[[#This Row],[Protective_factor]])</f>
        <v>0.666666666666667</v>
      </c>
      <c r="AQ8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</v>
      </c>
      <c r="AR8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Row],[Treatment_Score]]+(0.032997*E84))</f>
        <v>1.65369308333333</v>
      </c>
      <c r="AS84" t="str">
        <f>IF(Form_Responses[[#This Row],[PCA_distress_index]]&lt;1.5,"Low",IF(Form_Responses[[#This Row],[PCA_distress_index]]&lt;2.7,"Moderate","High"))</f>
        <v>Moderate</v>
      </c>
    </row>
    <row r="85" ht="22.5" customHeight="1" spans="1:45">
      <c r="A85" s="2" t="s">
        <v>45</v>
      </c>
      <c r="B85" s="2">
        <v>25</v>
      </c>
      <c r="C85" s="2">
        <v>1</v>
      </c>
      <c r="D85" s="2" t="s">
        <v>52</v>
      </c>
      <c r="E85" s="4">
        <f t="shared" si="15"/>
        <v>4</v>
      </c>
      <c r="F85" s="2">
        <v>0</v>
      </c>
      <c r="G85" s="2">
        <v>0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4</v>
      </c>
      <c r="N85" s="2">
        <v>4</v>
      </c>
      <c r="O85" s="2">
        <v>4</v>
      </c>
      <c r="P85" s="2">
        <v>4</v>
      </c>
      <c r="Q85" s="2">
        <v>3</v>
      </c>
      <c r="R85" s="2">
        <v>4</v>
      </c>
      <c r="S85" s="2">
        <v>3</v>
      </c>
      <c r="T85" s="2">
        <v>3</v>
      </c>
      <c r="U85" s="2">
        <v>4</v>
      </c>
      <c r="V85" s="2">
        <v>4</v>
      </c>
      <c r="W85" s="2">
        <v>4</v>
      </c>
      <c r="X85" s="2">
        <v>3</v>
      </c>
      <c r="Y85" s="2">
        <v>3</v>
      </c>
      <c r="Z85" s="2">
        <v>4</v>
      </c>
      <c r="AA85" s="2">
        <v>3</v>
      </c>
      <c r="AB85" s="2">
        <v>3</v>
      </c>
      <c r="AC85" s="2">
        <v>3</v>
      </c>
      <c r="AD85" s="2">
        <v>4</v>
      </c>
      <c r="AE85" s="2">
        <v>3</v>
      </c>
      <c r="AF85" s="2">
        <v>2</v>
      </c>
      <c r="AG85" s="2">
        <v>3</v>
      </c>
      <c r="AH85" s="4">
        <f t="shared" si="16"/>
        <v>3.5</v>
      </c>
      <c r="AI85" s="4">
        <f t="shared" si="17"/>
        <v>3.66666666666667</v>
      </c>
      <c r="AJ85" s="4">
        <f t="shared" si="18"/>
        <v>3.33333333333333</v>
      </c>
      <c r="AK85" s="4">
        <f t="shared" si="19"/>
        <v>4</v>
      </c>
      <c r="AL85">
        <f t="shared" si="20"/>
        <v>1</v>
      </c>
      <c r="AM85">
        <f t="shared" si="21"/>
        <v>4</v>
      </c>
      <c r="AN8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85">
        <f t="shared" si="22"/>
        <v>2.5</v>
      </c>
      <c r="AP85">
        <f>Form_Responses[[#This Row],[Emotional_Burden_Raw]]-(0.5*Form_Responses[[#This Row],[Protective_factor]])</f>
        <v>1.91666666666667</v>
      </c>
      <c r="AQ8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3.57142857142857</v>
      </c>
      <c r="AR8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Row],[Treatment_Score]]+(0.032997*E85))</f>
        <v>3.35136547619048</v>
      </c>
      <c r="AS85" t="str">
        <f>IF(Form_Responses[[#This Row],[PCA_distress_index]]&lt;1.5,"Low",IF(Form_Responses[[#This Row],[PCA_distress_index]]&lt;2.7,"Moderate","High"))</f>
        <v>High</v>
      </c>
    </row>
    <row r="86" ht="22.5" customHeight="1" spans="1:45">
      <c r="A86" s="2" t="s">
        <v>45</v>
      </c>
      <c r="B86" s="2">
        <v>25</v>
      </c>
      <c r="C86" s="2">
        <v>0</v>
      </c>
      <c r="D86" s="2" t="s">
        <v>47</v>
      </c>
      <c r="E86" s="4">
        <f t="shared" si="15"/>
        <v>4</v>
      </c>
      <c r="F86" s="2">
        <v>1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1</v>
      </c>
      <c r="M86" s="2">
        <v>3</v>
      </c>
      <c r="N86" s="2">
        <v>2</v>
      </c>
      <c r="O86" s="2">
        <v>2</v>
      </c>
      <c r="P86" s="2">
        <v>4</v>
      </c>
      <c r="Q86" s="2">
        <v>5</v>
      </c>
      <c r="R86" s="2">
        <v>3</v>
      </c>
      <c r="S86" s="2">
        <v>2</v>
      </c>
      <c r="T86" s="2">
        <v>3</v>
      </c>
      <c r="U86" s="2">
        <v>1</v>
      </c>
      <c r="V86" s="2">
        <v>5</v>
      </c>
      <c r="W86" s="2">
        <v>4</v>
      </c>
      <c r="X86" s="2">
        <v>5</v>
      </c>
      <c r="Y86" s="2">
        <v>3</v>
      </c>
      <c r="Z86" s="2">
        <v>5</v>
      </c>
      <c r="AA86" s="2">
        <v>5</v>
      </c>
      <c r="AB86" s="2">
        <v>2</v>
      </c>
      <c r="AC86" s="2">
        <v>5</v>
      </c>
      <c r="AD86" s="2">
        <v>4</v>
      </c>
      <c r="AE86" s="2">
        <v>5</v>
      </c>
      <c r="AF86" s="2">
        <v>5</v>
      </c>
      <c r="AG86" s="2">
        <v>4</v>
      </c>
      <c r="AH86" s="4">
        <f t="shared" si="16"/>
        <v>3.5</v>
      </c>
      <c r="AI86" s="4">
        <f t="shared" si="17"/>
        <v>3.66666666666667</v>
      </c>
      <c r="AJ86" s="4">
        <f t="shared" si="18"/>
        <v>4</v>
      </c>
      <c r="AK86" s="4">
        <f t="shared" si="19"/>
        <v>3</v>
      </c>
      <c r="AL86">
        <f t="shared" si="20"/>
        <v>1.3</v>
      </c>
      <c r="AM86">
        <f t="shared" si="21"/>
        <v>2.75</v>
      </c>
      <c r="AN8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3.33333333333333</v>
      </c>
      <c r="AO86">
        <f t="shared" si="22"/>
        <v>4.5</v>
      </c>
      <c r="AP86">
        <f>Form_Responses[[#This Row],[Emotional_Burden_Raw]]-(0.5*Form_Responses[[#This Row],[Protective_factor]])</f>
        <v>1.08333333333333</v>
      </c>
      <c r="AQ8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</v>
      </c>
      <c r="AR8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Row],[Treatment_Score]]+(0.032997*E86))</f>
        <v>3.22109241666667</v>
      </c>
      <c r="AS86" t="str">
        <f>IF(Form_Responses[[#This Row],[PCA_distress_index]]&lt;1.5,"Low",IF(Form_Responses[[#This Row],[PCA_distress_index]]&lt;2.7,"Moderate","High"))</f>
        <v>High</v>
      </c>
    </row>
    <row r="87" ht="22.5" customHeight="1" spans="1:45">
      <c r="A87" s="2" t="s">
        <v>45</v>
      </c>
      <c r="B87" s="2">
        <v>25</v>
      </c>
      <c r="C87" s="2">
        <v>0</v>
      </c>
      <c r="D87" s="2" t="s">
        <v>52</v>
      </c>
      <c r="E87" s="4">
        <f t="shared" si="15"/>
        <v>4</v>
      </c>
      <c r="F87" s="2">
        <v>1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3</v>
      </c>
      <c r="N87" s="2">
        <v>4</v>
      </c>
      <c r="O87" s="2">
        <v>2</v>
      </c>
      <c r="P87" s="2">
        <v>5</v>
      </c>
      <c r="Q87" s="2">
        <v>3</v>
      </c>
      <c r="R87" s="2">
        <v>5</v>
      </c>
      <c r="S87" s="2">
        <v>5</v>
      </c>
      <c r="T87" s="2">
        <v>4</v>
      </c>
      <c r="U87" s="2">
        <v>3</v>
      </c>
      <c r="V87" s="2">
        <v>4</v>
      </c>
      <c r="W87" s="2">
        <v>4</v>
      </c>
      <c r="X87" s="2">
        <v>4</v>
      </c>
      <c r="Y87" s="2">
        <v>3</v>
      </c>
      <c r="Z87" s="2">
        <v>4</v>
      </c>
      <c r="AA87" s="2">
        <v>3</v>
      </c>
      <c r="AB87" s="2">
        <v>4</v>
      </c>
      <c r="AC87" s="2">
        <v>4</v>
      </c>
      <c r="AD87" s="2">
        <v>3</v>
      </c>
      <c r="AE87" s="2">
        <v>3</v>
      </c>
      <c r="AF87" s="2">
        <v>4</v>
      </c>
      <c r="AG87" s="2">
        <v>4</v>
      </c>
      <c r="AH87" s="4">
        <f t="shared" si="16"/>
        <v>4</v>
      </c>
      <c r="AI87" s="4">
        <f t="shared" si="17"/>
        <v>3.33333333333333</v>
      </c>
      <c r="AJ87" s="4">
        <f t="shared" si="18"/>
        <v>3.66666666666667</v>
      </c>
      <c r="AK87" s="4">
        <f t="shared" si="19"/>
        <v>2.66666666666667</v>
      </c>
      <c r="AL87">
        <f t="shared" si="20"/>
        <v>1.3</v>
      </c>
      <c r="AM87">
        <f t="shared" si="21"/>
        <v>3</v>
      </c>
      <c r="AN8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</v>
      </c>
      <c r="AO87">
        <f t="shared" si="22"/>
        <v>4</v>
      </c>
      <c r="AP87">
        <f>Form_Responses[[#This Row],[Emotional_Burden_Raw]]-(0.5*Form_Responses[[#This Row],[Protective_factor]])</f>
        <v>2</v>
      </c>
      <c r="AQ8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3.57142857142857</v>
      </c>
      <c r="AR8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Row],[Treatment_Score]]+(0.032997*E87))</f>
        <v>3.33043464285714</v>
      </c>
      <c r="AS87" t="str">
        <f>IF(Form_Responses[[#This Row],[PCA_distress_index]]&lt;1.5,"Low",IF(Form_Responses[[#This Row],[PCA_distress_index]]&lt;2.7,"Moderate","High"))</f>
        <v>High</v>
      </c>
    </row>
    <row r="88" ht="22.5" customHeight="1" spans="1:45">
      <c r="A88" s="2" t="s">
        <v>45</v>
      </c>
      <c r="B88" s="2">
        <v>45</v>
      </c>
      <c r="C88" s="2">
        <v>0</v>
      </c>
      <c r="D88" s="2" t="s">
        <v>52</v>
      </c>
      <c r="E88" s="4">
        <f t="shared" si="15"/>
        <v>4</v>
      </c>
      <c r="F88" s="2">
        <v>1</v>
      </c>
      <c r="G88" s="2">
        <v>0</v>
      </c>
      <c r="H88" s="2">
        <v>0</v>
      </c>
      <c r="I88" s="2">
        <v>0</v>
      </c>
      <c r="J88" s="2">
        <v>1</v>
      </c>
      <c r="K88" s="2">
        <v>0</v>
      </c>
      <c r="L88" s="2">
        <v>0</v>
      </c>
      <c r="M88" s="2">
        <v>5</v>
      </c>
      <c r="N88" s="2">
        <v>5</v>
      </c>
      <c r="O88" s="2">
        <v>5</v>
      </c>
      <c r="P88" s="2">
        <v>5</v>
      </c>
      <c r="Q88" s="2">
        <v>5</v>
      </c>
      <c r="R88" s="2">
        <v>1</v>
      </c>
      <c r="S88" s="2">
        <v>3</v>
      </c>
      <c r="T88" s="2">
        <v>1</v>
      </c>
      <c r="U88" s="2">
        <v>5</v>
      </c>
      <c r="V88" s="2">
        <v>5</v>
      </c>
      <c r="W88" s="2">
        <v>3</v>
      </c>
      <c r="X88" s="2">
        <v>1</v>
      </c>
      <c r="Y88" s="2">
        <v>3</v>
      </c>
      <c r="Z88" s="2">
        <v>1</v>
      </c>
      <c r="AA88" s="2">
        <v>1</v>
      </c>
      <c r="AB88" s="2">
        <v>1</v>
      </c>
      <c r="AC88" s="2">
        <v>1</v>
      </c>
      <c r="AD88" s="2">
        <v>1</v>
      </c>
      <c r="AE88" s="2">
        <v>2</v>
      </c>
      <c r="AF88" s="2">
        <v>5</v>
      </c>
      <c r="AG88" s="2">
        <v>5</v>
      </c>
      <c r="AH88" s="4">
        <f t="shared" si="16"/>
        <v>4</v>
      </c>
      <c r="AI88" s="4">
        <f t="shared" si="17"/>
        <v>3.66666666666667</v>
      </c>
      <c r="AJ88" s="4">
        <f t="shared" si="18"/>
        <v>3</v>
      </c>
      <c r="AK88" s="4">
        <f t="shared" si="19"/>
        <v>3.66666666666667</v>
      </c>
      <c r="AL88">
        <f t="shared" si="20"/>
        <v>2.4</v>
      </c>
      <c r="AM88">
        <f t="shared" ref="AM88:AM96" si="23">AVERAGE(M88,N88,O88,AD88)</f>
        <v>4</v>
      </c>
      <c r="AN8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2.16666666666667</v>
      </c>
      <c r="AO88">
        <f t="shared" si="22"/>
        <v>5</v>
      </c>
      <c r="AP88">
        <f>Form_Responses[[#This Row],[Emotional_Burden_Raw]]-(0.5*Form_Responses[[#This Row],[Protective_factor]])</f>
        <v>-0.333333333333333</v>
      </c>
      <c r="AQ8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2.71428571428571</v>
      </c>
      <c r="AR8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Row],[Treatment_Score]]+(0.032997*E88))</f>
        <v>2.93228676190476</v>
      </c>
      <c r="AS88" t="str">
        <f>IF(Form_Responses[[#This Row],[PCA_distress_index]]&lt;1.5,"Low",IF(Form_Responses[[#This Row],[PCA_distress_index]]&lt;2.7,"Moderate","High"))</f>
        <v>High</v>
      </c>
    </row>
    <row r="89" ht="22.5" customHeight="1" spans="1:45">
      <c r="A89" s="2" t="s">
        <v>45</v>
      </c>
      <c r="B89" s="2">
        <v>35</v>
      </c>
      <c r="C89" s="2">
        <v>1</v>
      </c>
      <c r="D89" s="2" t="s">
        <v>52</v>
      </c>
      <c r="E89" s="4">
        <f t="shared" si="15"/>
        <v>4</v>
      </c>
      <c r="F89" s="2">
        <v>1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5</v>
      </c>
      <c r="N89" s="2">
        <v>5</v>
      </c>
      <c r="O89" s="2">
        <v>5</v>
      </c>
      <c r="P89" s="2">
        <v>5</v>
      </c>
      <c r="Q89" s="2">
        <v>5</v>
      </c>
      <c r="R89" s="2">
        <v>4</v>
      </c>
      <c r="S89" s="2">
        <v>5</v>
      </c>
      <c r="T89" s="2">
        <v>5</v>
      </c>
      <c r="U89" s="2">
        <v>5</v>
      </c>
      <c r="V89" s="2">
        <v>5</v>
      </c>
      <c r="W89" s="2">
        <v>5</v>
      </c>
      <c r="X89" s="2">
        <v>5</v>
      </c>
      <c r="Y89" s="2">
        <v>1</v>
      </c>
      <c r="Z89" s="2">
        <v>5</v>
      </c>
      <c r="AA89" s="2">
        <v>4</v>
      </c>
      <c r="AB89" s="2">
        <v>4</v>
      </c>
      <c r="AC89" s="2">
        <v>5</v>
      </c>
      <c r="AD89" s="2">
        <v>3</v>
      </c>
      <c r="AE89" s="2">
        <v>5</v>
      </c>
      <c r="AF89" s="2">
        <v>5</v>
      </c>
      <c r="AG89" s="2">
        <v>5</v>
      </c>
      <c r="AH89" s="4">
        <f t="shared" si="16"/>
        <v>3</v>
      </c>
      <c r="AI89" s="4">
        <f t="shared" si="17"/>
        <v>4.66666666666667</v>
      </c>
      <c r="AJ89" s="4">
        <f t="shared" si="18"/>
        <v>5</v>
      </c>
      <c r="AK89" s="4">
        <f t="shared" si="19"/>
        <v>4.33333333333333</v>
      </c>
      <c r="AL89">
        <f t="shared" si="20"/>
        <v>2.4</v>
      </c>
      <c r="AM89">
        <f t="shared" si="23"/>
        <v>4.5</v>
      </c>
      <c r="AN8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4.66666666666667</v>
      </c>
      <c r="AO89">
        <f t="shared" si="22"/>
        <v>5</v>
      </c>
      <c r="AP89">
        <f>Form_Responses[[#This Row],[Emotional_Burden_Raw]]-(0.5*Form_Responses[[#This Row],[Protective_factor]])</f>
        <v>2.16666666666667</v>
      </c>
      <c r="AQ8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4.28571428571429</v>
      </c>
      <c r="AR8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Row],[Treatment_Score]]+(0.032997*E89))</f>
        <v>4.2606854047619</v>
      </c>
      <c r="AS89" t="str">
        <f>IF(Form_Responses[[#This Row],[PCA_distress_index]]&lt;1.5,"Low",IF(Form_Responses[[#This Row],[PCA_distress_index]]&lt;2.7,"Moderate","High"))</f>
        <v>High</v>
      </c>
    </row>
    <row r="90" ht="22.5" customHeight="1" spans="1:45">
      <c r="A90" s="2" t="s">
        <v>45</v>
      </c>
      <c r="B90" s="2">
        <v>35</v>
      </c>
      <c r="C90" s="2">
        <v>1</v>
      </c>
      <c r="D90" s="2" t="s">
        <v>49</v>
      </c>
      <c r="E90" s="4">
        <f t="shared" si="15"/>
        <v>1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2</v>
      </c>
      <c r="N90" s="2">
        <v>2</v>
      </c>
      <c r="O90" s="2">
        <v>3</v>
      </c>
      <c r="P90" s="2">
        <v>4</v>
      </c>
      <c r="Q90" s="2">
        <v>2</v>
      </c>
      <c r="R90" s="2">
        <v>3</v>
      </c>
      <c r="S90" s="2">
        <v>3</v>
      </c>
      <c r="T90" s="2">
        <v>3</v>
      </c>
      <c r="U90" s="2">
        <v>3</v>
      </c>
      <c r="V90" s="2">
        <v>4</v>
      </c>
      <c r="W90" s="2">
        <v>2</v>
      </c>
      <c r="X90" s="2">
        <v>4</v>
      </c>
      <c r="Y90" s="2">
        <v>2</v>
      </c>
      <c r="Z90" s="2">
        <v>2</v>
      </c>
      <c r="AA90" s="2">
        <v>4</v>
      </c>
      <c r="AB90" s="2">
        <v>2</v>
      </c>
      <c r="AC90" s="2">
        <v>3</v>
      </c>
      <c r="AD90" s="2">
        <v>2</v>
      </c>
      <c r="AE90" s="2">
        <v>4</v>
      </c>
      <c r="AF90" s="2">
        <v>4</v>
      </c>
      <c r="AG90" s="2">
        <v>2</v>
      </c>
      <c r="AH90" s="4">
        <f t="shared" si="16"/>
        <v>3</v>
      </c>
      <c r="AI90" s="4">
        <f t="shared" si="17"/>
        <v>3.66666666666667</v>
      </c>
      <c r="AJ90" s="4">
        <f t="shared" si="18"/>
        <v>2.33333333333333</v>
      </c>
      <c r="AK90" s="4">
        <f t="shared" si="19"/>
        <v>2.33333333333333</v>
      </c>
      <c r="AL90">
        <f t="shared" si="20"/>
        <v>1.3</v>
      </c>
      <c r="AM90">
        <f t="shared" si="23"/>
        <v>2.25</v>
      </c>
      <c r="AN9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90">
        <f t="shared" si="22"/>
        <v>3</v>
      </c>
      <c r="AP90">
        <f>Form_Responses[[#This Row],[Emotional_Burden_Raw]]-(0.5*Form_Responses[[#This Row],[Protective_factor]])</f>
        <v>1.33333333333333</v>
      </c>
      <c r="AQ9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</v>
      </c>
      <c r="AR9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Row],[Treatment_Score]]+(0.032997*E90))</f>
        <v>2.52234391666667</v>
      </c>
      <c r="AS90" t="str">
        <f>IF(Form_Responses[[#This Row],[PCA_distress_index]]&lt;1.5,"Low",IF(Form_Responses[[#This Row],[PCA_distress_index]]&lt;2.7,"Moderate","High"))</f>
        <v>Moderate</v>
      </c>
    </row>
    <row r="91" ht="22.5" customHeight="1" spans="1:45">
      <c r="A91" s="2" t="s">
        <v>45</v>
      </c>
      <c r="B91" s="2">
        <v>35</v>
      </c>
      <c r="C91" s="2">
        <v>1</v>
      </c>
      <c r="D91" s="2" t="s">
        <v>46</v>
      </c>
      <c r="E91" s="4">
        <f t="shared" si="15"/>
        <v>3</v>
      </c>
      <c r="F91" s="2">
        <v>1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1</v>
      </c>
      <c r="M91" s="2">
        <v>2</v>
      </c>
      <c r="N91" s="2">
        <v>1</v>
      </c>
      <c r="O91" s="2">
        <v>2</v>
      </c>
      <c r="P91" s="2">
        <v>3</v>
      </c>
      <c r="Q91" s="2">
        <v>1</v>
      </c>
      <c r="R91" s="2">
        <v>2</v>
      </c>
      <c r="S91" s="2">
        <v>2</v>
      </c>
      <c r="T91" s="2">
        <v>1</v>
      </c>
      <c r="U91" s="2">
        <v>1</v>
      </c>
      <c r="V91" s="2">
        <v>2</v>
      </c>
      <c r="W91" s="2">
        <v>2</v>
      </c>
      <c r="X91" s="2">
        <v>1</v>
      </c>
      <c r="Y91" s="2">
        <v>3</v>
      </c>
      <c r="Z91" s="2">
        <v>1</v>
      </c>
      <c r="AA91" s="2">
        <v>1</v>
      </c>
      <c r="AB91" s="2">
        <v>3</v>
      </c>
      <c r="AC91" s="2">
        <v>3</v>
      </c>
      <c r="AD91" s="2">
        <v>1</v>
      </c>
      <c r="AE91" s="2">
        <v>2</v>
      </c>
      <c r="AF91" s="2">
        <v>3</v>
      </c>
      <c r="AG91" s="2">
        <v>2</v>
      </c>
      <c r="AH91" s="4">
        <f t="shared" si="16"/>
        <v>3</v>
      </c>
      <c r="AI91" s="4">
        <f t="shared" si="17"/>
        <v>1.33333333333333</v>
      </c>
      <c r="AJ91" s="4">
        <f t="shared" si="18"/>
        <v>1.33333333333333</v>
      </c>
      <c r="AK91" s="4">
        <f t="shared" si="19"/>
        <v>1.66666666666667</v>
      </c>
      <c r="AL91">
        <f t="shared" si="20"/>
        <v>1.3</v>
      </c>
      <c r="AM91">
        <f t="shared" si="23"/>
        <v>1.5</v>
      </c>
      <c r="AN9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1.83333333333333</v>
      </c>
      <c r="AO91">
        <f t="shared" si="22"/>
        <v>2.5</v>
      </c>
      <c r="AP91">
        <f>Form_Responses[[#This Row],[Emotional_Burden_Raw]]-(0.5*Form_Responses[[#This Row],[Protective_factor]])</f>
        <v>0.583333333333333</v>
      </c>
      <c r="AQ9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1.57142857142857</v>
      </c>
      <c r="AR9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Row],[Treatment_Score]]+(0.032997*E91))</f>
        <v>1.64430380952381</v>
      </c>
      <c r="AS91" t="str">
        <f>IF(Form_Responses[[#This Row],[PCA_distress_index]]&lt;1.5,"Low",IF(Form_Responses[[#This Row],[PCA_distress_index]]&lt;2.7,"Moderate","High"))</f>
        <v>Moderate</v>
      </c>
    </row>
    <row r="92" ht="22.5" customHeight="1" spans="1:45">
      <c r="A92" s="2" t="s">
        <v>45</v>
      </c>
      <c r="B92" s="2">
        <v>25</v>
      </c>
      <c r="C92" s="2">
        <v>0</v>
      </c>
      <c r="D92" s="2" t="s">
        <v>47</v>
      </c>
      <c r="E92" s="4">
        <f t="shared" si="15"/>
        <v>4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</v>
      </c>
      <c r="M92" s="2">
        <v>4</v>
      </c>
      <c r="N92" s="2">
        <v>2</v>
      </c>
      <c r="O92" s="2">
        <v>3</v>
      </c>
      <c r="P92" s="2">
        <v>2</v>
      </c>
      <c r="Q92" s="2">
        <v>2</v>
      </c>
      <c r="R92" s="2">
        <v>3</v>
      </c>
      <c r="S92" s="2">
        <v>4</v>
      </c>
      <c r="T92" s="2">
        <v>3</v>
      </c>
      <c r="U92" s="2">
        <v>2</v>
      </c>
      <c r="V92" s="2">
        <v>2</v>
      </c>
      <c r="W92" s="2">
        <v>4</v>
      </c>
      <c r="X92" s="2">
        <v>4</v>
      </c>
      <c r="Y92" s="2">
        <v>2</v>
      </c>
      <c r="Z92" s="2">
        <v>2</v>
      </c>
      <c r="AA92" s="2">
        <v>3</v>
      </c>
      <c r="AB92" s="2">
        <v>4</v>
      </c>
      <c r="AC92" s="2">
        <v>2</v>
      </c>
      <c r="AD92" s="2">
        <v>3</v>
      </c>
      <c r="AE92" s="2">
        <v>3</v>
      </c>
      <c r="AF92" s="2">
        <v>2</v>
      </c>
      <c r="AG92" s="2">
        <v>4</v>
      </c>
      <c r="AH92" s="4">
        <f t="shared" si="16"/>
        <v>2</v>
      </c>
      <c r="AI92" s="4">
        <f t="shared" si="17"/>
        <v>2.33333333333333</v>
      </c>
      <c r="AJ92" s="4">
        <f t="shared" si="18"/>
        <v>3</v>
      </c>
      <c r="AK92" s="4">
        <f t="shared" si="19"/>
        <v>3.33333333333333</v>
      </c>
      <c r="AL92">
        <f t="shared" si="20"/>
        <v>1.3</v>
      </c>
      <c r="AM92">
        <f t="shared" si="23"/>
        <v>3</v>
      </c>
      <c r="AN9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92">
        <f t="shared" si="22"/>
        <v>3</v>
      </c>
      <c r="AP92">
        <f>Form_Responses[[#This Row],[Emotional_Burden_Raw]]-(0.5*Form_Responses[[#This Row],[Protective_factor]])</f>
        <v>1.66666666666667</v>
      </c>
      <c r="AQ9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2.71428571428571</v>
      </c>
      <c r="AR9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Row],[Treatment_Score]]+(0.032997*E92))</f>
        <v>2.82454426190476</v>
      </c>
      <c r="AS92" t="str">
        <f>IF(Form_Responses[[#This Row],[PCA_distress_index]]&lt;1.5,"Low",IF(Form_Responses[[#This Row],[PCA_distress_index]]&lt;2.7,"Moderate","High"))</f>
        <v>High</v>
      </c>
    </row>
    <row r="93" ht="22.5" customHeight="1" spans="1:45">
      <c r="A93" s="2" t="s">
        <v>45</v>
      </c>
      <c r="B93" s="2">
        <v>35</v>
      </c>
      <c r="C93" s="2">
        <v>1</v>
      </c>
      <c r="D93" s="2" t="s">
        <v>50</v>
      </c>
      <c r="E93" s="4">
        <f t="shared" si="15"/>
        <v>1</v>
      </c>
      <c r="F93" s="2">
        <v>1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1</v>
      </c>
      <c r="M93" s="2">
        <v>2</v>
      </c>
      <c r="N93" s="2">
        <v>5</v>
      </c>
      <c r="O93" s="2">
        <v>3</v>
      </c>
      <c r="P93" s="2">
        <v>4</v>
      </c>
      <c r="Q93" s="2">
        <v>2</v>
      </c>
      <c r="R93" s="2">
        <v>5</v>
      </c>
      <c r="S93" s="2">
        <v>4</v>
      </c>
      <c r="T93" s="2">
        <v>3</v>
      </c>
      <c r="U93" s="2">
        <v>3</v>
      </c>
      <c r="V93" s="2">
        <v>3</v>
      </c>
      <c r="W93" s="2">
        <v>3</v>
      </c>
      <c r="X93" s="2">
        <v>2</v>
      </c>
      <c r="Y93" s="2">
        <v>4</v>
      </c>
      <c r="Z93" s="2">
        <v>5</v>
      </c>
      <c r="AA93" s="2">
        <v>5</v>
      </c>
      <c r="AB93" s="2">
        <v>4</v>
      </c>
      <c r="AC93" s="2">
        <v>4</v>
      </c>
      <c r="AD93" s="2">
        <v>4</v>
      </c>
      <c r="AE93" s="2">
        <v>4</v>
      </c>
      <c r="AF93" s="2">
        <v>3</v>
      </c>
      <c r="AG93" s="2">
        <v>3</v>
      </c>
      <c r="AH93" s="4">
        <f t="shared" si="16"/>
        <v>4</v>
      </c>
      <c r="AI93" s="4">
        <f t="shared" si="17"/>
        <v>3.66666666666667</v>
      </c>
      <c r="AJ93" s="4">
        <f t="shared" si="18"/>
        <v>2.66666666666667</v>
      </c>
      <c r="AK93" s="4">
        <f t="shared" si="19"/>
        <v>3</v>
      </c>
      <c r="AL93">
        <f t="shared" si="20"/>
        <v>1.3</v>
      </c>
      <c r="AM93">
        <f t="shared" si="23"/>
        <v>3.5</v>
      </c>
      <c r="AN9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3.66666666666667</v>
      </c>
      <c r="AO93">
        <f t="shared" si="22"/>
        <v>3</v>
      </c>
      <c r="AP93">
        <f>Form_Responses[[#This Row],[Emotional_Burden_Raw]]-(0.5*Form_Responses[[#This Row],[Protective_factor]])</f>
        <v>2.16666666666667</v>
      </c>
      <c r="AQ9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3.57142857142857</v>
      </c>
      <c r="AR9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Row],[Treatment_Score]]+(0.032997*E93))</f>
        <v>3.27862847619048</v>
      </c>
      <c r="AS93" t="str">
        <f>IF(Form_Responses[[#This Row],[PCA_distress_index]]&lt;1.5,"Low",IF(Form_Responses[[#This Row],[PCA_distress_index]]&lt;2.7,"Moderate","High"))</f>
        <v>High</v>
      </c>
    </row>
    <row r="94" ht="22.5" customHeight="1" spans="1:45">
      <c r="A94" s="2" t="s">
        <v>45</v>
      </c>
      <c r="B94" s="2">
        <v>25</v>
      </c>
      <c r="C94" s="2">
        <v>1</v>
      </c>
      <c r="D94" s="2" t="s">
        <v>50</v>
      </c>
      <c r="E94" s="4">
        <f t="shared" si="15"/>
        <v>1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1</v>
      </c>
      <c r="L94" s="2">
        <v>0</v>
      </c>
      <c r="M94" s="2">
        <v>4</v>
      </c>
      <c r="N94" s="2">
        <v>5</v>
      </c>
      <c r="O94" s="2">
        <v>5</v>
      </c>
      <c r="P94" s="2">
        <v>4</v>
      </c>
      <c r="Q94" s="2">
        <v>2</v>
      </c>
      <c r="R94" s="2">
        <v>1</v>
      </c>
      <c r="S94" s="2">
        <v>1</v>
      </c>
      <c r="T94" s="2">
        <v>2</v>
      </c>
      <c r="U94" s="2">
        <v>4</v>
      </c>
      <c r="V94" s="2">
        <v>5</v>
      </c>
      <c r="W94" s="2">
        <v>3</v>
      </c>
      <c r="X94" s="2">
        <v>1</v>
      </c>
      <c r="Y94" s="2">
        <v>2</v>
      </c>
      <c r="Z94" s="2">
        <v>3</v>
      </c>
      <c r="AA94" s="2">
        <v>1</v>
      </c>
      <c r="AB94" s="2">
        <v>2</v>
      </c>
      <c r="AC94" s="2">
        <v>2</v>
      </c>
      <c r="AD94" s="2">
        <v>2</v>
      </c>
      <c r="AE94" s="2">
        <v>2</v>
      </c>
      <c r="AF94" s="2">
        <v>4</v>
      </c>
      <c r="AG94" s="2">
        <v>5</v>
      </c>
      <c r="AH94" s="4">
        <f t="shared" si="16"/>
        <v>3</v>
      </c>
      <c r="AI94" s="4">
        <f t="shared" si="17"/>
        <v>3.33333333333333</v>
      </c>
      <c r="AJ94" s="4">
        <f t="shared" si="18"/>
        <v>2.33333333333333</v>
      </c>
      <c r="AK94" s="4">
        <f t="shared" si="19"/>
        <v>3.66666666666667</v>
      </c>
      <c r="AL94">
        <f t="shared" si="20"/>
        <v>0.5</v>
      </c>
      <c r="AM94">
        <f t="shared" si="23"/>
        <v>4</v>
      </c>
      <c r="AN9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1.66666666666667</v>
      </c>
      <c r="AO94">
        <f t="shared" si="22"/>
        <v>4.5</v>
      </c>
      <c r="AP94">
        <f>Form_Responses[[#This Row],[Emotional_Burden_Raw]]-(0.5*Form_Responses[[#This Row],[Protective_factor]])</f>
        <v>-0.583333333333333</v>
      </c>
      <c r="AQ9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2.71428571428571</v>
      </c>
      <c r="AR9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Row],[Treatment_Score]]+(0.032997*E94))</f>
        <v>2.51871426190476</v>
      </c>
      <c r="AS94" t="str">
        <f>IF(Form_Responses[[#This Row],[PCA_distress_index]]&lt;1.5,"Low",IF(Form_Responses[[#This Row],[PCA_distress_index]]&lt;2.7,"Moderate","High"))</f>
        <v>Moderate</v>
      </c>
    </row>
    <row r="95" ht="22.5" customHeight="1" spans="1:45">
      <c r="A95" s="2" t="s">
        <v>45</v>
      </c>
      <c r="B95" s="2">
        <v>25</v>
      </c>
      <c r="C95" s="2">
        <v>0</v>
      </c>
      <c r="D95" s="2" t="s">
        <v>52</v>
      </c>
      <c r="E95" s="4">
        <f t="shared" si="15"/>
        <v>4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1</v>
      </c>
      <c r="M95" s="2">
        <v>4</v>
      </c>
      <c r="N95" s="2">
        <v>5</v>
      </c>
      <c r="O95" s="2">
        <v>3</v>
      </c>
      <c r="P95" s="2">
        <v>3</v>
      </c>
      <c r="Q95" s="2">
        <v>3</v>
      </c>
      <c r="R95" s="2">
        <v>3</v>
      </c>
      <c r="S95" s="2">
        <v>3</v>
      </c>
      <c r="T95" s="2">
        <v>1</v>
      </c>
      <c r="U95" s="2">
        <v>2</v>
      </c>
      <c r="V95" s="2">
        <v>4</v>
      </c>
      <c r="W95" s="2">
        <v>2</v>
      </c>
      <c r="X95" s="2">
        <v>4</v>
      </c>
      <c r="Y95" s="2">
        <v>2</v>
      </c>
      <c r="Z95" s="2">
        <v>3</v>
      </c>
      <c r="AA95" s="2">
        <v>2</v>
      </c>
      <c r="AB95" s="2">
        <v>4</v>
      </c>
      <c r="AC95" s="2">
        <v>2</v>
      </c>
      <c r="AD95" s="2">
        <v>1</v>
      </c>
      <c r="AE95" s="2">
        <v>3</v>
      </c>
      <c r="AF95" s="2">
        <v>5</v>
      </c>
      <c r="AG95" s="2">
        <v>2</v>
      </c>
      <c r="AH95" s="4">
        <f t="shared" si="16"/>
        <v>2.5</v>
      </c>
      <c r="AI95" s="4">
        <f t="shared" si="17"/>
        <v>2.66666666666667</v>
      </c>
      <c r="AJ95" s="4">
        <f t="shared" si="18"/>
        <v>2</v>
      </c>
      <c r="AK95" s="4">
        <f t="shared" si="19"/>
        <v>2.66666666666667</v>
      </c>
      <c r="AL95">
        <f t="shared" si="20"/>
        <v>1.1</v>
      </c>
      <c r="AM95">
        <f t="shared" si="23"/>
        <v>3.25</v>
      </c>
      <c r="AN95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95">
        <f t="shared" si="22"/>
        <v>3.5</v>
      </c>
      <c r="AP95">
        <f>Form_Responses[[#This Row],[Emotional_Burden_Raw]]-(0.5*Form_Responses[[#This Row],[Protective_factor]])</f>
        <v>1.08333333333333</v>
      </c>
      <c r="AQ95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2.71428571428571</v>
      </c>
      <c r="AR95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Row],[Treatment_Score]]+(0.032997*E95))</f>
        <v>2.7841243452381</v>
      </c>
      <c r="AS95" t="str">
        <f>IF(Form_Responses[[#This Row],[PCA_distress_index]]&lt;1.5,"Low",IF(Form_Responses[[#This Row],[PCA_distress_index]]&lt;2.7,"Moderate","High"))</f>
        <v>High</v>
      </c>
    </row>
    <row r="96" ht="22.5" customHeight="1" spans="1:45">
      <c r="A96" s="2" t="s">
        <v>45</v>
      </c>
      <c r="B96" s="2">
        <v>25</v>
      </c>
      <c r="C96" s="2">
        <v>0</v>
      </c>
      <c r="D96" s="2" t="s">
        <v>47</v>
      </c>
      <c r="E96" s="4">
        <f t="shared" si="15"/>
        <v>4</v>
      </c>
      <c r="F96" s="2">
        <v>0</v>
      </c>
      <c r="G96" s="2">
        <v>0</v>
      </c>
      <c r="H96" s="2">
        <v>1</v>
      </c>
      <c r="I96" s="2">
        <v>0</v>
      </c>
      <c r="J96" s="2">
        <v>0</v>
      </c>
      <c r="K96" s="2">
        <v>0</v>
      </c>
      <c r="L96" s="2">
        <v>1</v>
      </c>
      <c r="M96" s="2">
        <v>3</v>
      </c>
      <c r="N96" s="2">
        <v>4</v>
      </c>
      <c r="O96" s="2">
        <v>2</v>
      </c>
      <c r="P96" s="2">
        <v>3</v>
      </c>
      <c r="Q96" s="2">
        <v>4</v>
      </c>
      <c r="R96" s="2">
        <v>2</v>
      </c>
      <c r="S96" s="2">
        <v>5</v>
      </c>
      <c r="T96" s="2">
        <v>4</v>
      </c>
      <c r="U96" s="2">
        <v>2</v>
      </c>
      <c r="V96" s="2">
        <v>2</v>
      </c>
      <c r="W96" s="2">
        <v>3</v>
      </c>
      <c r="X96" s="2">
        <v>4</v>
      </c>
      <c r="Y96" s="2">
        <v>2</v>
      </c>
      <c r="Z96" s="2">
        <v>3</v>
      </c>
      <c r="AA96" s="2">
        <v>1</v>
      </c>
      <c r="AB96" s="2">
        <v>2</v>
      </c>
      <c r="AC96" s="2">
        <v>3</v>
      </c>
      <c r="AD96" s="2">
        <v>3</v>
      </c>
      <c r="AE96" s="2">
        <v>2</v>
      </c>
      <c r="AF96" s="2">
        <v>4</v>
      </c>
      <c r="AG96" s="2">
        <v>1</v>
      </c>
      <c r="AH96" s="4">
        <f t="shared" si="16"/>
        <v>2.5</v>
      </c>
      <c r="AI96" s="4">
        <f t="shared" si="17"/>
        <v>1.66666666666667</v>
      </c>
      <c r="AJ96" s="4">
        <f t="shared" si="18"/>
        <v>3.66666666666667</v>
      </c>
      <c r="AK96" s="4">
        <f t="shared" si="19"/>
        <v>2.66666666666667</v>
      </c>
      <c r="AL96">
        <f t="shared" si="20"/>
        <v>1</v>
      </c>
      <c r="AM96">
        <f t="shared" si="23"/>
        <v>3</v>
      </c>
      <c r="AN96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3.16666666666667</v>
      </c>
      <c r="AO96">
        <f t="shared" si="22"/>
        <v>2.5</v>
      </c>
      <c r="AP96">
        <f>Form_Responses[[#This Row],[Emotional_Burden_Raw]]-(0.5*Form_Responses[[#This Row],[Protective_factor]])</f>
        <v>1.91666666666667</v>
      </c>
      <c r="AQ96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2.42857142857143</v>
      </c>
      <c r="AR96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Row],[Treatment_Score]]+(0.032997*E96))</f>
        <v>2.70290019047619</v>
      </c>
      <c r="AS96" t="str">
        <f>IF(Form_Responses[[#This Row],[PCA_distress_index]]&lt;1.5,"Low",IF(Form_Responses[[#This Row],[PCA_distress_index]]&lt;2.7,"Moderate","High"))</f>
        <v>High</v>
      </c>
    </row>
    <row r="97" ht="22.5" customHeight="1" spans="1:45">
      <c r="A97" s="2" t="s">
        <v>45</v>
      </c>
      <c r="B97" s="2">
        <v>45</v>
      </c>
      <c r="C97" s="2">
        <v>1</v>
      </c>
      <c r="D97" s="2" t="s">
        <v>47</v>
      </c>
      <c r="E97" s="4">
        <f t="shared" si="15"/>
        <v>4</v>
      </c>
      <c r="F97" s="2">
        <v>0</v>
      </c>
      <c r="G97" s="2">
        <v>0</v>
      </c>
      <c r="H97" s="2">
        <v>1</v>
      </c>
      <c r="I97" s="2">
        <v>0</v>
      </c>
      <c r="J97" s="2">
        <v>0</v>
      </c>
      <c r="K97" s="2">
        <v>0</v>
      </c>
      <c r="L97" s="2">
        <v>1</v>
      </c>
      <c r="M97" s="2">
        <v>2</v>
      </c>
      <c r="N97" s="2">
        <v>2</v>
      </c>
      <c r="O97" s="2">
        <v>2</v>
      </c>
      <c r="P97" s="2">
        <v>2</v>
      </c>
      <c r="Q97" s="2">
        <v>2</v>
      </c>
      <c r="R97" s="2">
        <v>2</v>
      </c>
      <c r="S97" s="2">
        <v>2</v>
      </c>
      <c r="T97" s="2">
        <v>2</v>
      </c>
      <c r="U97" s="2">
        <v>2</v>
      </c>
      <c r="V97" s="2">
        <v>2</v>
      </c>
      <c r="W97" s="2">
        <v>2</v>
      </c>
      <c r="X97" s="2">
        <v>2</v>
      </c>
      <c r="Y97" s="2">
        <v>3</v>
      </c>
      <c r="Z97" s="2">
        <v>3</v>
      </c>
      <c r="AA97" s="2">
        <v>2</v>
      </c>
      <c r="AB97" s="2">
        <v>2</v>
      </c>
      <c r="AC97" s="2">
        <v>2</v>
      </c>
      <c r="AD97" s="2">
        <v>2</v>
      </c>
      <c r="AE97" s="2">
        <v>2</v>
      </c>
      <c r="AF97" s="2">
        <v>3</v>
      </c>
      <c r="AG97" s="2">
        <v>2</v>
      </c>
      <c r="AH97" s="4">
        <f t="shared" si="16"/>
        <v>2.5</v>
      </c>
      <c r="AI97" s="4">
        <f t="shared" si="17"/>
        <v>2</v>
      </c>
      <c r="AJ97" s="4">
        <f t="shared" si="18"/>
        <v>2</v>
      </c>
      <c r="AK97" s="4">
        <f t="shared" si="19"/>
        <v>2</v>
      </c>
      <c r="AL97">
        <f t="shared" ref="AL97:AL104" si="24">(1.3*F97)+(0.7*G97)+(1*H97)+(1.2*I97)+(1.1*J97)+(0.5*K97)</f>
        <v>1</v>
      </c>
      <c r="AM97">
        <f t="shared" ref="AM97:AM104" si="25">AVERAGE(M97,N97,O97,AD97)</f>
        <v>2</v>
      </c>
      <c r="AN97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</v>
      </c>
      <c r="AO97">
        <f t="shared" ref="AO97:AO104" si="26">AVERAGE(AF97,AG97)</f>
        <v>2.5</v>
      </c>
      <c r="AP97">
        <f>Form_Responses[[#This Row],[Emotional_Burden_Raw]]-(0.5*Form_Responses[[#This Row],[Protective_factor]])</f>
        <v>0.75</v>
      </c>
      <c r="AQ97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2.28571428571429</v>
      </c>
      <c r="AR97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Row],[Treatment_Score]]+(0.032997*E97))</f>
        <v>2.06509557142857</v>
      </c>
      <c r="AS97" t="str">
        <f>IF(Form_Responses[[#This Row],[PCA_distress_index]]&lt;1.5,"Low",IF(Form_Responses[[#This Row],[PCA_distress_index]]&lt;2.7,"Moderate","High"))</f>
        <v>Moderate</v>
      </c>
    </row>
    <row r="98" ht="22.5" customHeight="1" spans="1:45">
      <c r="A98" s="2" t="s">
        <v>45</v>
      </c>
      <c r="B98" s="2">
        <v>45</v>
      </c>
      <c r="C98" s="2">
        <v>1</v>
      </c>
      <c r="D98" s="2" t="s">
        <v>49</v>
      </c>
      <c r="E98" s="4">
        <f t="shared" si="15"/>
        <v>1</v>
      </c>
      <c r="F98" s="2">
        <v>0</v>
      </c>
      <c r="G98" s="2">
        <v>0</v>
      </c>
      <c r="H98" s="2">
        <v>1</v>
      </c>
      <c r="I98" s="2">
        <v>0</v>
      </c>
      <c r="J98" s="2">
        <v>0</v>
      </c>
      <c r="K98" s="2">
        <v>0</v>
      </c>
      <c r="L98" s="2">
        <v>1</v>
      </c>
      <c r="M98" s="2">
        <v>5</v>
      </c>
      <c r="N98" s="2">
        <v>5</v>
      </c>
      <c r="O98" s="2">
        <v>2</v>
      </c>
      <c r="P98" s="2">
        <v>5</v>
      </c>
      <c r="Q98" s="2">
        <v>5</v>
      </c>
      <c r="R98" s="2">
        <v>2</v>
      </c>
      <c r="S98" s="2">
        <v>4</v>
      </c>
      <c r="T98" s="2">
        <v>2</v>
      </c>
      <c r="U98" s="2">
        <v>5</v>
      </c>
      <c r="V98" s="2">
        <v>5</v>
      </c>
      <c r="W98" s="2">
        <v>5</v>
      </c>
      <c r="X98" s="2">
        <v>5</v>
      </c>
      <c r="Y98" s="2">
        <v>1</v>
      </c>
      <c r="Z98" s="2">
        <v>5</v>
      </c>
      <c r="AA98" s="2">
        <v>4</v>
      </c>
      <c r="AB98" s="2">
        <v>4</v>
      </c>
      <c r="AC98" s="2">
        <v>3</v>
      </c>
      <c r="AD98" s="2">
        <v>4</v>
      </c>
      <c r="AE98" s="2">
        <v>1</v>
      </c>
      <c r="AF98" s="2">
        <v>4</v>
      </c>
      <c r="AG98" s="2">
        <v>4</v>
      </c>
      <c r="AH98" s="4">
        <f>AVERAGE(Y98,P98)</f>
        <v>3</v>
      </c>
      <c r="AI98" s="4">
        <f>AVERAGE(U98,V98,AA98)</f>
        <v>4.66666666666667</v>
      </c>
      <c r="AJ98" s="4">
        <f>AVERAGE(T98,Q98,W98)</f>
        <v>4</v>
      </c>
      <c r="AK98" s="4">
        <f>AVERAGE(M98,O98,AD98)</f>
        <v>3.66666666666667</v>
      </c>
      <c r="AL98">
        <f t="shared" si="24"/>
        <v>1</v>
      </c>
      <c r="AM98">
        <f t="shared" si="25"/>
        <v>4</v>
      </c>
      <c r="AN98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3</v>
      </c>
      <c r="AO98">
        <f t="shared" si="26"/>
        <v>4</v>
      </c>
      <c r="AP98">
        <f>Form_Responses[[#This Row],[Emotional_Burden_Raw]]-(0.5*Form_Responses[[#This Row],[Protective_factor]])</f>
        <v>1</v>
      </c>
      <c r="AQ98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4.28571428571429</v>
      </c>
      <c r="AR98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Row],[Treatment_Score]]+(0.032997*E98))</f>
        <v>3.44062657142857</v>
      </c>
      <c r="AS98" t="str">
        <f>IF(Form_Responses[[#This Row],[PCA_distress_index]]&lt;1.5,"Low",IF(Form_Responses[[#This Row],[PCA_distress_index]]&lt;2.7,"Moderate","High"))</f>
        <v>High</v>
      </c>
    </row>
    <row r="99" ht="22.5" customHeight="1" spans="1:45">
      <c r="A99" s="2" t="s">
        <v>45</v>
      </c>
      <c r="B99" s="2">
        <v>25</v>
      </c>
      <c r="C99" s="2">
        <v>0</v>
      </c>
      <c r="D99" s="2" t="s">
        <v>47</v>
      </c>
      <c r="E99" s="4">
        <f t="shared" si="15"/>
        <v>4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1</v>
      </c>
      <c r="M99" s="2">
        <v>2</v>
      </c>
      <c r="N99" s="2">
        <v>3</v>
      </c>
      <c r="O99" s="2">
        <v>4</v>
      </c>
      <c r="P99" s="2">
        <v>2</v>
      </c>
      <c r="Q99" s="2">
        <v>2</v>
      </c>
      <c r="R99" s="2">
        <v>2</v>
      </c>
      <c r="S99" s="2">
        <v>3</v>
      </c>
      <c r="T99" s="2">
        <v>1</v>
      </c>
      <c r="U99" s="2">
        <v>2</v>
      </c>
      <c r="V99" s="2">
        <v>1</v>
      </c>
      <c r="W99" s="2">
        <v>1</v>
      </c>
      <c r="X99" s="2">
        <v>1</v>
      </c>
      <c r="Y99" s="2">
        <v>1</v>
      </c>
      <c r="Z99" s="2">
        <v>1</v>
      </c>
      <c r="AA99" s="2">
        <v>1</v>
      </c>
      <c r="AB99" s="2">
        <v>1</v>
      </c>
      <c r="AC99" s="2">
        <v>1</v>
      </c>
      <c r="AD99" s="2">
        <v>1</v>
      </c>
      <c r="AE99" s="2">
        <v>1</v>
      </c>
      <c r="AF99" s="2">
        <v>1</v>
      </c>
      <c r="AG99" s="2">
        <v>1</v>
      </c>
      <c r="AH99" s="4">
        <f>AVERAGE(Y99,P99)</f>
        <v>1.5</v>
      </c>
      <c r="AI99" s="4">
        <f>AVERAGE(U99,V99,AA99)</f>
        <v>1.33333333333333</v>
      </c>
      <c r="AJ99" s="4">
        <f>AVERAGE(T99,Q99,W99)</f>
        <v>1.33333333333333</v>
      </c>
      <c r="AK99" s="4">
        <f>AVERAGE(M99,O99,AD99)</f>
        <v>2.33333333333333</v>
      </c>
      <c r="AL99">
        <f t="shared" si="24"/>
        <v>0</v>
      </c>
      <c r="AM99">
        <f t="shared" si="25"/>
        <v>2.5</v>
      </c>
      <c r="AN99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1.66666666666667</v>
      </c>
      <c r="AO99">
        <f t="shared" si="26"/>
        <v>1</v>
      </c>
      <c r="AP99">
        <f>Form_Responses[[#This Row],[Emotional_Burden_Raw]]-(0.5*Form_Responses[[#This Row],[Protective_factor]])</f>
        <v>1.16666666666667</v>
      </c>
      <c r="AQ99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1.14285714285714</v>
      </c>
      <c r="AR99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Row],[Treatment_Score]]+(0.032997*E99))</f>
        <v>1.64455711904762</v>
      </c>
      <c r="AS99" t="str">
        <f>IF(Form_Responses[[#This Row],[PCA_distress_index]]&lt;1.5,"Low",IF(Form_Responses[[#This Row],[PCA_distress_index]]&lt;2.7,"Moderate","High"))</f>
        <v>Moderate</v>
      </c>
    </row>
    <row r="100" ht="22.5" customHeight="1" spans="1:45">
      <c r="A100" s="2" t="s">
        <v>45</v>
      </c>
      <c r="B100" s="2">
        <v>25</v>
      </c>
      <c r="C100" s="2">
        <v>1</v>
      </c>
      <c r="D100" s="2" t="s">
        <v>52</v>
      </c>
      <c r="E100" s="4">
        <f t="shared" si="15"/>
        <v>4</v>
      </c>
      <c r="F100" s="2">
        <v>1</v>
      </c>
      <c r="G100" s="2">
        <v>1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4</v>
      </c>
      <c r="N100" s="2">
        <v>4</v>
      </c>
      <c r="O100" s="2">
        <v>5</v>
      </c>
      <c r="P100" s="2">
        <v>3</v>
      </c>
      <c r="Q100" s="2">
        <v>2</v>
      </c>
      <c r="R100" s="2">
        <v>1</v>
      </c>
      <c r="S100" s="2">
        <v>1</v>
      </c>
      <c r="T100" s="2">
        <v>1</v>
      </c>
      <c r="U100" s="2">
        <v>1</v>
      </c>
      <c r="V100" s="2">
        <v>3</v>
      </c>
      <c r="W100" s="2">
        <v>1</v>
      </c>
      <c r="X100" s="2">
        <v>1</v>
      </c>
      <c r="Y100" s="2">
        <v>1</v>
      </c>
      <c r="Z100" s="2">
        <v>1</v>
      </c>
      <c r="AA100" s="2">
        <v>1</v>
      </c>
      <c r="AB100" s="2">
        <v>1</v>
      </c>
      <c r="AC100" s="2">
        <v>3</v>
      </c>
      <c r="AD100" s="2">
        <v>4</v>
      </c>
      <c r="AE100" s="2">
        <v>1</v>
      </c>
      <c r="AF100" s="2">
        <v>4</v>
      </c>
      <c r="AG100" s="2">
        <v>1</v>
      </c>
      <c r="AH100" s="4">
        <f>AVERAGE(Y100,P100)</f>
        <v>2</v>
      </c>
      <c r="AI100" s="4">
        <f>AVERAGE(U100,V100,AA100)</f>
        <v>1.66666666666667</v>
      </c>
      <c r="AJ100" s="4">
        <f>AVERAGE(T100,Q100,W100)</f>
        <v>1.33333333333333</v>
      </c>
      <c r="AK100" s="4">
        <f>AVERAGE(M100,O100,AD100)</f>
        <v>4.33333333333333</v>
      </c>
      <c r="AL100">
        <f t="shared" si="24"/>
        <v>2</v>
      </c>
      <c r="AM100">
        <f t="shared" si="25"/>
        <v>4.25</v>
      </c>
      <c r="AN100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1.16666666666667</v>
      </c>
      <c r="AO100">
        <f t="shared" si="26"/>
        <v>2.5</v>
      </c>
      <c r="AP100">
        <f>Form_Responses[[#This Row],[Emotional_Burden_Raw]]-(0.5*Form_Responses[[#This Row],[Protective_factor]])</f>
        <v>-0.0833333333333333</v>
      </c>
      <c r="AQ100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1.28571428571429</v>
      </c>
      <c r="AR100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Row],[Treatment_Score]]+(0.032997*E100))</f>
        <v>2.2255536547619</v>
      </c>
      <c r="AS100" t="str">
        <f>IF(Form_Responses[[#This Row],[PCA_distress_index]]&lt;1.5,"Low",IF(Form_Responses[[#This Row],[PCA_distress_index]]&lt;2.7,"Moderate","High"))</f>
        <v>Moderate</v>
      </c>
    </row>
    <row r="101" ht="22.5" customHeight="1" spans="1:45">
      <c r="A101" s="2" t="s">
        <v>45</v>
      </c>
      <c r="B101" s="2">
        <v>25</v>
      </c>
      <c r="C101" s="2">
        <v>1</v>
      </c>
      <c r="D101" s="2" t="s">
        <v>52</v>
      </c>
      <c r="E101" s="4">
        <f t="shared" si="15"/>
        <v>4</v>
      </c>
      <c r="F101" s="2">
        <v>0</v>
      </c>
      <c r="G101" s="2">
        <v>0</v>
      </c>
      <c r="H101" s="2">
        <v>1</v>
      </c>
      <c r="I101" s="2">
        <v>0</v>
      </c>
      <c r="J101" s="2">
        <v>0</v>
      </c>
      <c r="K101" s="2">
        <v>0</v>
      </c>
      <c r="L101" s="2">
        <v>1</v>
      </c>
      <c r="M101" s="2">
        <v>4</v>
      </c>
      <c r="N101" s="2">
        <v>5</v>
      </c>
      <c r="O101" s="2">
        <v>4</v>
      </c>
      <c r="P101" s="2">
        <v>3</v>
      </c>
      <c r="Q101" s="2">
        <v>3</v>
      </c>
      <c r="R101" s="2">
        <v>4</v>
      </c>
      <c r="S101" s="2">
        <v>2</v>
      </c>
      <c r="T101" s="2">
        <v>2</v>
      </c>
      <c r="U101" s="2">
        <v>4</v>
      </c>
      <c r="V101" s="2">
        <v>5</v>
      </c>
      <c r="W101" s="2">
        <v>4</v>
      </c>
      <c r="X101" s="2">
        <v>3</v>
      </c>
      <c r="Y101" s="2">
        <v>2</v>
      </c>
      <c r="Z101" s="2">
        <v>4</v>
      </c>
      <c r="AA101" s="2">
        <v>2</v>
      </c>
      <c r="AB101" s="2">
        <v>3</v>
      </c>
      <c r="AC101" s="2">
        <v>2</v>
      </c>
      <c r="AD101" s="2">
        <v>1</v>
      </c>
      <c r="AE101" s="2">
        <v>3</v>
      </c>
      <c r="AF101" s="2">
        <v>3</v>
      </c>
      <c r="AG101" s="2">
        <v>3</v>
      </c>
      <c r="AH101" s="4">
        <f>AVERAGE(Y101,P101)</f>
        <v>2.5</v>
      </c>
      <c r="AI101" s="4">
        <f>AVERAGE(U101,V101,AA101)</f>
        <v>3.66666666666667</v>
      </c>
      <c r="AJ101" s="4">
        <f>AVERAGE(T101,Q101,W101)</f>
        <v>3</v>
      </c>
      <c r="AK101" s="4">
        <f>AVERAGE(M101,O101,AD101)</f>
        <v>3</v>
      </c>
      <c r="AL101">
        <f t="shared" si="24"/>
        <v>1</v>
      </c>
      <c r="AM101">
        <f t="shared" si="25"/>
        <v>3.5</v>
      </c>
      <c r="AN101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2.83333333333333</v>
      </c>
      <c r="AO101">
        <f t="shared" si="26"/>
        <v>3</v>
      </c>
      <c r="AP101">
        <f>Form_Responses[[#This Row],[Emotional_Burden_Raw]]-(0.5*Form_Responses[[#This Row],[Protective_factor]])</f>
        <v>1.33333333333333</v>
      </c>
      <c r="AQ101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3.42857142857143</v>
      </c>
      <c r="AR101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Row],[Treatment_Score]]+(0.032997*E101))</f>
        <v>3.07686102380952</v>
      </c>
      <c r="AS101" t="str">
        <f>IF(Form_Responses[[#This Row],[PCA_distress_index]]&lt;1.5,"Low",IF(Form_Responses[[#This Row],[PCA_distress_index]]&lt;2.7,"Moderate","High"))</f>
        <v>High</v>
      </c>
    </row>
    <row r="102" ht="22.5" customHeight="1" spans="1:45">
      <c r="A102" s="2" t="s">
        <v>45</v>
      </c>
      <c r="B102" s="2">
        <v>35</v>
      </c>
      <c r="C102" s="2">
        <v>1</v>
      </c>
      <c r="D102" s="2" t="s">
        <v>47</v>
      </c>
      <c r="E102" s="4">
        <f t="shared" si="15"/>
        <v>4</v>
      </c>
      <c r="F102" s="2">
        <v>1</v>
      </c>
      <c r="G102" s="2">
        <v>0</v>
      </c>
      <c r="H102" s="2">
        <v>1</v>
      </c>
      <c r="I102" s="2">
        <v>0</v>
      </c>
      <c r="J102" s="2">
        <v>0</v>
      </c>
      <c r="K102" s="2">
        <v>0</v>
      </c>
      <c r="L102" s="2">
        <v>1</v>
      </c>
      <c r="M102" s="2">
        <v>5</v>
      </c>
      <c r="N102" s="2">
        <v>3</v>
      </c>
      <c r="O102" s="2">
        <v>2</v>
      </c>
      <c r="P102" s="2">
        <v>5</v>
      </c>
      <c r="Q102" s="2">
        <v>5</v>
      </c>
      <c r="R102" s="2">
        <v>5</v>
      </c>
      <c r="S102" s="2">
        <v>5</v>
      </c>
      <c r="T102" s="2">
        <v>5</v>
      </c>
      <c r="U102" s="2">
        <v>5</v>
      </c>
      <c r="V102" s="2">
        <v>5</v>
      </c>
      <c r="W102" s="2">
        <v>3</v>
      </c>
      <c r="X102" s="2">
        <v>2</v>
      </c>
      <c r="Y102" s="2">
        <v>3</v>
      </c>
      <c r="Z102" s="2">
        <v>5</v>
      </c>
      <c r="AA102" s="2">
        <v>5</v>
      </c>
      <c r="AB102" s="2">
        <v>3</v>
      </c>
      <c r="AC102" s="2">
        <v>5</v>
      </c>
      <c r="AD102" s="2">
        <v>3</v>
      </c>
      <c r="AE102" s="2">
        <v>5</v>
      </c>
      <c r="AF102" s="2">
        <v>5</v>
      </c>
      <c r="AG102" s="2">
        <v>3</v>
      </c>
      <c r="AH102" s="4">
        <f>AVERAGE(Y102,P102)</f>
        <v>4</v>
      </c>
      <c r="AI102" s="4">
        <f>AVERAGE(U102,V102,AA102)</f>
        <v>5</v>
      </c>
      <c r="AJ102" s="4">
        <f>AVERAGE(T102,Q102,W102)</f>
        <v>4.33333333333333</v>
      </c>
      <c r="AK102" s="4">
        <f>AVERAGE(M102,O102,AD102)</f>
        <v>3.33333333333333</v>
      </c>
      <c r="AL102">
        <f t="shared" si="24"/>
        <v>2.3</v>
      </c>
      <c r="AM102">
        <f t="shared" si="25"/>
        <v>3.25</v>
      </c>
      <c r="AN102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4.66666666666667</v>
      </c>
      <c r="AO102">
        <f t="shared" si="26"/>
        <v>4</v>
      </c>
      <c r="AP102">
        <f>Form_Responses[[#This Row],[Emotional_Burden_Raw]]-(0.5*Form_Responses[[#This Row],[Protective_factor]])</f>
        <v>2.66666666666667</v>
      </c>
      <c r="AQ102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4</v>
      </c>
      <c r="AR102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Row],[Treatment_Score]]+(0.032997*E102))</f>
        <v>3.81413558333333</v>
      </c>
      <c r="AS102" t="str">
        <f>IF(Form_Responses[[#This Row],[PCA_distress_index]]&lt;1.5,"Low",IF(Form_Responses[[#This Row],[PCA_distress_index]]&lt;2.7,"Moderate","High"))</f>
        <v>High</v>
      </c>
    </row>
    <row r="103" ht="22.5" customHeight="1" spans="1:45">
      <c r="A103" s="2" t="s">
        <v>45</v>
      </c>
      <c r="B103" s="2">
        <v>35</v>
      </c>
      <c r="C103" s="2">
        <v>0</v>
      </c>
      <c r="D103" s="2" t="s">
        <v>52</v>
      </c>
      <c r="E103" s="4">
        <f t="shared" si="15"/>
        <v>4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</v>
      </c>
      <c r="M103" s="2">
        <v>4</v>
      </c>
      <c r="N103" s="2">
        <v>3</v>
      </c>
      <c r="O103" s="2">
        <v>5</v>
      </c>
      <c r="P103" s="2">
        <v>4</v>
      </c>
      <c r="Q103" s="2">
        <v>2</v>
      </c>
      <c r="R103" s="2">
        <v>1</v>
      </c>
      <c r="S103" s="2">
        <v>2</v>
      </c>
      <c r="T103" s="2">
        <v>4</v>
      </c>
      <c r="U103" s="2">
        <v>1</v>
      </c>
      <c r="V103" s="2">
        <v>5</v>
      </c>
      <c r="W103" s="2">
        <v>1</v>
      </c>
      <c r="X103" s="2">
        <v>1</v>
      </c>
      <c r="Y103" s="2">
        <v>2</v>
      </c>
      <c r="Z103" s="2">
        <v>4</v>
      </c>
      <c r="AA103" s="2">
        <v>1</v>
      </c>
      <c r="AB103" s="2">
        <v>2</v>
      </c>
      <c r="AC103" s="2">
        <v>4</v>
      </c>
      <c r="AD103" s="2">
        <v>2</v>
      </c>
      <c r="AE103" s="2">
        <v>5</v>
      </c>
      <c r="AF103" s="2">
        <v>5</v>
      </c>
      <c r="AG103" s="2">
        <v>4</v>
      </c>
      <c r="AH103" s="4">
        <f>AVERAGE(Y103,P103)</f>
        <v>3</v>
      </c>
      <c r="AI103" s="4">
        <f>AVERAGE(U103,V103,AA103)</f>
        <v>2.33333333333333</v>
      </c>
      <c r="AJ103" s="4">
        <f>AVERAGE(T103,Q103,W103)</f>
        <v>2.33333333333333</v>
      </c>
      <c r="AK103" s="4">
        <f>AVERAGE(M103,O103,AD103)</f>
        <v>3.66666666666667</v>
      </c>
      <c r="AL103">
        <f t="shared" si="24"/>
        <v>1.3</v>
      </c>
      <c r="AM103">
        <f t="shared" si="25"/>
        <v>3.5</v>
      </c>
      <c r="AN103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103">
        <f t="shared" si="26"/>
        <v>4.5</v>
      </c>
      <c r="AP103">
        <f>Form_Responses[[#This Row],[Emotional_Burden_Raw]]-(0.5*Form_Responses[[#This Row],[Protective_factor]])</f>
        <v>0.416666666666667</v>
      </c>
      <c r="AQ103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2.14285714285714</v>
      </c>
      <c r="AR103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Row],[Treatment_Score]]+(0.032997*E103))</f>
        <v>2.63984061904762</v>
      </c>
      <c r="AS103" t="str">
        <f>IF(Form_Responses[[#This Row],[PCA_distress_index]]&lt;1.5,"Low",IF(Form_Responses[[#This Row],[PCA_distress_index]]&lt;2.7,"Moderate","High"))</f>
        <v>Moderate</v>
      </c>
    </row>
    <row r="104" ht="22.5" customHeight="1" spans="1:45">
      <c r="A104" s="2" t="s">
        <v>45</v>
      </c>
      <c r="B104" s="2">
        <v>25</v>
      </c>
      <c r="C104" s="2">
        <v>1</v>
      </c>
      <c r="D104" s="2" t="s">
        <v>49</v>
      </c>
      <c r="E104" s="4">
        <f t="shared" si="15"/>
        <v>1</v>
      </c>
      <c r="F104" s="2">
        <v>0</v>
      </c>
      <c r="G104" s="2">
        <v>0</v>
      </c>
      <c r="H104" s="2">
        <v>1</v>
      </c>
      <c r="I104" s="2">
        <v>1</v>
      </c>
      <c r="J104" s="2">
        <v>0</v>
      </c>
      <c r="K104" s="2">
        <v>0</v>
      </c>
      <c r="L104" s="2">
        <v>1</v>
      </c>
      <c r="M104" s="2">
        <v>3</v>
      </c>
      <c r="N104" s="2">
        <v>4</v>
      </c>
      <c r="O104" s="2">
        <v>3</v>
      </c>
      <c r="P104" s="2">
        <v>4</v>
      </c>
      <c r="Q104" s="2">
        <v>2</v>
      </c>
      <c r="R104" s="2">
        <v>3</v>
      </c>
      <c r="S104" s="2">
        <v>4</v>
      </c>
      <c r="T104" s="2">
        <v>2</v>
      </c>
      <c r="U104" s="2">
        <v>3</v>
      </c>
      <c r="V104" s="2">
        <v>2</v>
      </c>
      <c r="W104" s="2">
        <v>4</v>
      </c>
      <c r="X104" s="2">
        <v>2</v>
      </c>
      <c r="Y104" s="2">
        <v>4</v>
      </c>
      <c r="Z104" s="2">
        <v>3</v>
      </c>
      <c r="AA104" s="2">
        <v>1</v>
      </c>
      <c r="AB104" s="2">
        <v>3</v>
      </c>
      <c r="AC104" s="2">
        <v>4</v>
      </c>
      <c r="AD104" s="2">
        <v>4</v>
      </c>
      <c r="AE104" s="2">
        <v>2</v>
      </c>
      <c r="AF104" s="2">
        <v>4</v>
      </c>
      <c r="AG104" s="2">
        <v>2</v>
      </c>
      <c r="AH104" s="4">
        <f>AVERAGE(Y104,P104)</f>
        <v>4</v>
      </c>
      <c r="AI104" s="4">
        <f>AVERAGE(U104,V104,AA104)</f>
        <v>2</v>
      </c>
      <c r="AJ104" s="4">
        <f>AVERAGE(T104,Q104,W104)</f>
        <v>2.66666666666667</v>
      </c>
      <c r="AK104" s="4">
        <f>AVERAGE(M104,O104,AD104)</f>
        <v>3.33333333333333</v>
      </c>
      <c r="AL104">
        <f t="shared" si="24"/>
        <v>2.2</v>
      </c>
      <c r="AM104">
        <f t="shared" si="25"/>
        <v>3.5</v>
      </c>
      <c r="AN104">
        <f>AVERAGE(Form_Responses[[#This Row],[ strained_your_relationships]],Form_Responses[[#This Row],[socialactiv_reduced ]],Form_Responses[[#This Row],[give up hobbies_personal interests]],Form_Responses[[#This Row],[ burden ]],Form_Responses[[#This Row],[overwhelmed]],Form_Responses[[#This Row],[ little_ no time for yourself]])</f>
        <v>2.66666666666667</v>
      </c>
      <c r="AO104">
        <f t="shared" si="26"/>
        <v>3</v>
      </c>
      <c r="AP104">
        <f>Form_Responses[[#This Row],[Emotional_Burden_Raw]]-(0.5*Form_Responses[[#This Row],[Protective_factor]])</f>
        <v>1.16666666666667</v>
      </c>
      <c r="AQ104">
        <f>AVERAGE(Form_Responses[[#This Row],[ lost_income_leave_work]],Form_Responses[[#This Row],[medical_expenses_increased ]],Form_Responses[[#This Row],[affected_performance]],Form_Responses[[#This Row],[ risk_jobloss ]],Form_Responses[[#This Row],[missed_ownmedical ]],Form_Responses[[#This Row],[physically_exhausted]],Form_Responses[[#This Row],[rest_sleep]])</f>
        <v>2.71428571428571</v>
      </c>
      <c r="AR104" s="6">
        <f>(0.275007*Form_Responses[[#This Row],[Psychological_Score]])+(0.270956*Form_Responses[[#This Row],[Emotional_Burden_Raw]])+(0.326776*Form_Responses[[#This Row],[Physical &amp; Financial Strain Score]])+(0.094265*Form_Responses[[#This Row],[Treatment_Score]]+(0.032997*E104))</f>
        <v>2.81241726190476</v>
      </c>
      <c r="AS104" t="str">
        <f>IF(Form_Responses[[#This Row],[PCA_distress_index]]&lt;1.5,"Low",IF(Form_Responses[[#This Row],[PCA_distress_index]]&lt;2.7,"Moderate","High"))</f>
        <v>High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 Responses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bollam</cp:lastModifiedBy>
  <dcterms:created xsi:type="dcterms:W3CDTF">2026-01-28T03:35:00Z</dcterms:created>
  <dcterms:modified xsi:type="dcterms:W3CDTF">2026-02-04T08:05:23Z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E5CB43AE512B41FE886970920A603811_12</vt:lpwstr>
  </property>
</Properties>
</file>